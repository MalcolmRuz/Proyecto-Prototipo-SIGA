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 de Pruebas" sheetId="1" state="visible" r:id="rId3"/>
    <sheet name="Casos de Prueb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<sst xmlns="http://schemas.openxmlformats.org/spreadsheetml/2006/main" count="321" uniqueCount="278">
  <si>
    <t xml:space="preserve">PLAN DE PRUEBAS — SIGA
Sistema de Gestión Fronteriza</t>
  </si>
  <si>
    <t xml:space="preserve">Normativa aplicada: ISO/IEC 25000 (SQuaRE) · ISO/IEC 9126</t>
  </si>
  <si>
    <t xml:space="preserve">Proyecto</t>
  </si>
  <si>
    <t xml:space="preserve">SIGA — Sistema de Gestión Fronteriza (Paso Los Libertadores)</t>
  </si>
  <si>
    <t xml:space="preserve">Versión del plan</t>
  </si>
  <si>
    <t xml:space="preserve">v1.0</t>
  </si>
  <si>
    <t xml:space="preserve">Fecha elaboración</t>
  </si>
  <si>
    <t xml:space="preserve">14/06/2026</t>
  </si>
  <si>
    <t xml:space="preserve">Elaborado por</t>
  </si>
  <si>
    <t xml:space="preserve">Equipo de desarrollo SIGA</t>
  </si>
  <si>
    <t xml:space="preserve">Asignatura</t>
  </si>
  <si>
    <t xml:space="preserve">Ingeniería de Software — RQY1102</t>
  </si>
  <si>
    <t xml:space="preserve">Norma base</t>
  </si>
  <si>
    <t xml:space="preserve">ISO/IEC 25010:2011 (calidad del producto) · ISO/IEC 25040 (evaluación)</t>
  </si>
  <si>
    <t xml:space="preserve">Objetivo</t>
  </si>
  <si>
    <t xml:space="preserve">Verificar que el prototipo SIGA cumple los RF y RNF definidos, aplicando casos de prueba estructurados conforme a ISO 25000.</t>
  </si>
  <si>
    <t xml:space="preserve">CARACTERÍSTICAS DE CALIDAD EVALUADAS (ISO 9126 / ISO 25010)</t>
  </si>
  <si>
    <t xml:space="preserve">Característica</t>
  </si>
  <si>
    <t xml:space="preserve">Descripción</t>
  </si>
  <si>
    <t xml:space="preserve">RNF asociados</t>
  </si>
  <si>
    <t xml:space="preserve">Funcionalidad</t>
  </si>
  <si>
    <t xml:space="preserve">Completitud, corrección y pertinencia de funciones del sistema.</t>
  </si>
  <si>
    <t xml:space="preserve">RF-01 a RF-20</t>
  </si>
  <si>
    <t xml:space="preserve">Fiabilidad</t>
  </si>
  <si>
    <t xml:space="preserve">Madurez del sistema, tolerancia a fallos y capacidad de recuperación.</t>
  </si>
  <si>
    <t xml:space="preserve">RNF-09, RNF-10, RNF-11</t>
  </si>
  <si>
    <t xml:space="preserve">Usabilidad</t>
  </si>
  <si>
    <t xml:space="preserve">Comprensibilidad, facilidad de aprendizaje y operabilidad de la UI.</t>
  </si>
  <si>
    <t xml:space="preserve">RNF-16, RNF-17</t>
  </si>
  <si>
    <t xml:space="preserve">Eficiencia</t>
  </si>
  <si>
    <t xml:space="preserve">Comportamiento temporal (tiempo de respuesta) y uso de recursos.</t>
  </si>
  <si>
    <t xml:space="preserve">RNF-01, RNF-02, RNF-03</t>
  </si>
  <si>
    <t xml:space="preserve">Mantenibilidad</t>
  </si>
  <si>
    <t xml:space="preserve">Modularidad, analizabilidad, capacidad de cambio y estabilidad.</t>
  </si>
  <si>
    <t xml:space="preserve">RNF-13, RNF-14, RNF-15</t>
  </si>
  <si>
    <t xml:space="preserve">Portabilidad</t>
  </si>
  <si>
    <t xml:space="preserve">Adaptabilidad, instalabilidad y coexistencia en distintos entornos.</t>
  </si>
  <si>
    <t xml:space="preserve">Seguridad</t>
  </si>
  <si>
    <t xml:space="preserve">Confidencialidad, integridad, autenticidad y trazabilidad.</t>
  </si>
  <si>
    <t xml:space="preserve">RNF-04, RNF-05, RNF-06, RNF-07, RNF-08</t>
  </si>
  <si>
    <t xml:space="preserve">ALCANCE Y ESTRATEGIA DE PRUEBAS</t>
  </si>
  <si>
    <t xml:space="preserve">Tipo de prueba</t>
  </si>
  <si>
    <t xml:space="preserve">Prueba funcional de caja negra sobre el prototipo HTML SIGA</t>
  </si>
  <si>
    <t xml:space="preserve">Técnica</t>
  </si>
  <si>
    <t xml:space="preserve">Casos de prueba basados en requisitos (RF) — partición de equivalencia y valores límite</t>
  </si>
  <si>
    <t xml:space="preserve">Entorno de prueba</t>
  </si>
  <si>
    <t xml:space="preserve">Navegador Chrome/Firefox · Sistema operativo Windows 10/11 · Resolución ≥ 1280×720</t>
  </si>
  <si>
    <t xml:space="preserve">Datos de prueba</t>
  </si>
  <si>
    <t xml:space="preserve">Datos ficticios representativos de pasajeros, vehículos y usuarios</t>
  </si>
  <si>
    <t xml:space="preserve">Criterio de éxito</t>
  </si>
  <si>
    <t xml:space="preserve">≥ 90% de casos de prueba en estado APROBADO</t>
  </si>
  <si>
    <t xml:space="preserve">Criterio de falla</t>
  </si>
  <si>
    <t xml:space="preserve">Cualquier RF de alta criticidad con resultado FALLIDO</t>
  </si>
  <si>
    <t xml:space="preserve">Responsable ejecución</t>
  </si>
  <si>
    <t xml:space="preserve">Fecha ejecución</t>
  </si>
  <si>
    <t xml:space="preserve">PLANILLA DE CASOS DE PRUEBA — SIGA
ISO/IEC 25000 · ISO/IEC 9126</t>
  </si>
  <si>
    <t xml:space="preserve">Proyecto: SIGA — Sistema de Gestión Fronteriza  |  Versión: v1.0  |  Fecha: 14/06/2026  |  Elaborado por: Equipo SIGA</t>
  </si>
  <si>
    <t xml:space="preserve">ID Caso</t>
  </si>
  <si>
    <t xml:space="preserve">RF/RNF</t>
  </si>
  <si>
    <t xml:space="preserve">Módulo SIGA</t>
  </si>
  <si>
    <t xml:space="preserve">Precondición</t>
  </si>
  <si>
    <t xml:space="preserve">Datos de entrada</t>
  </si>
  <si>
    <t xml:space="preserve">Pasos</t>
  </si>
  <si>
    <t xml:space="preserve">Resultado esperado</t>
  </si>
  <si>
    <t xml:space="preserve">Resultado obtenido</t>
  </si>
  <si>
    <t xml:space="preserve">Estado</t>
  </si>
  <si>
    <t xml:space="preserve">Observaciones</t>
  </si>
  <si>
    <t xml:space="preserve">CP-001</t>
  </si>
  <si>
    <t xml:space="preserve">RF-01</t>
  </si>
  <si>
    <t xml:space="preserve">Registro Ingreso</t>
  </si>
  <si>
    <t xml:space="preserve">Registrar ingreso de pasajero con datos completos y válidos</t>
  </si>
  <si>
    <t xml:space="preserve">Usuario autenticado con rol Operador</t>
  </si>
  <si>
    <t xml:space="preserve">Nombre: María González · RUT: 12.345.678-9 · Nac: Chile · Doc: Pasaporte · Motivo: Turismo</t>
  </si>
  <si>
    <t xml:space="preserve">1. Ir a 'Registro Ingreso'
2. Completar datos de identidad
3. Completar doc. migratorio
4. Clic 'Validar y continuar'</t>
  </si>
  <si>
    <t xml:space="preserve">Folio generado (RF-2026-XXXXX) · Estado 'Aprobado' · Datos guardados en historial</t>
  </si>
  <si>
    <t xml:space="preserve">Folio RF-2026-00892 generado · Estado Aprobado · Registro visible en historial</t>
  </si>
  <si>
    <t xml:space="preserve">APROBADO</t>
  </si>
  <si>
    <t xml:space="preserve">CP-002</t>
  </si>
  <si>
    <t xml:space="preserve">Intentar registrar ingreso con RUT inválido</t>
  </si>
  <si>
    <t xml:space="preserve">RUT: 99.999.999-0 (inválido) · Resto de campos válidos</t>
  </si>
  <si>
    <t xml:space="preserve">1. Ir a 'Registro Ingreso'
2. Ingresar RUT inválido
3. Clic 'Validar y continuar'</t>
  </si>
  <si>
    <t xml:space="preserve">Mensaje de error visible · Campo RUT marcado en rojo · No se genera folio</t>
  </si>
  <si>
    <t xml:space="preserve">Campo RUT resaltado en error · Alerta visible · Sin folio generado</t>
  </si>
  <si>
    <t xml:space="preserve">Validación de formato RUT funciona correctamente</t>
  </si>
  <si>
    <t xml:space="preserve">CP-003</t>
  </si>
  <si>
    <t xml:space="preserve">RF-02</t>
  </si>
  <si>
    <t xml:space="preserve">Registro Salida</t>
  </si>
  <si>
    <t xml:space="preserve">Registrar salida de pasajero previamente ingresado</t>
  </si>
  <si>
    <t xml:space="preserve">Pasajero con folio de ingreso RF-2026-00501 registrado en el sistema</t>
  </si>
  <si>
    <t xml:space="preserve">RUT: 12.345.678-9 · Folio ingreso: RF-2026-00501</t>
  </si>
  <si>
    <t xml:space="preserve">1. Ir a 'Registro Salida'
2. Ingresar RUT
3. Clic 'Buscar'
4. Verificar datos
5. Clic 'Confirmar salida'</t>
  </si>
  <si>
    <t xml:space="preserve">Registro de salida guardado · Estado actualizado · Folio de salida emitido</t>
  </si>
  <si>
    <t xml:space="preserve">Salida registrada exitosamente · Datos del pasajero recuperados correctamente</t>
  </si>
  <si>
    <t xml:space="preserve">CP-004</t>
  </si>
  <si>
    <t xml:space="preserve">RF-03</t>
  </si>
  <si>
    <t xml:space="preserve">Validación Docs</t>
  </si>
  <si>
    <t xml:space="preserve">Validar documento de identidad vigente</t>
  </si>
  <si>
    <t xml:space="preserve">Usuario autenticado · Pasajero en módulo de validación</t>
  </si>
  <si>
    <t xml:space="preserve">RUT: 15.234.567-8 · Documento: Cédula de identidad · Vencimiento: 2028</t>
  </si>
  <si>
    <t xml:space="preserve">1. Ir a 'Validación Docs'
2. Seleccionar pasajero
3. Revisar estado PDI</t>
  </si>
  <si>
    <t xml:space="preserve">Estado PDI: OK · Badge verde · Sin alertas</t>
  </si>
  <si>
    <t xml:space="preserve">Validación PDI retorna OK · Badge verde mostrado</t>
  </si>
  <si>
    <t xml:space="preserve">CP-005</t>
  </si>
  <si>
    <t xml:space="preserve">RF-04</t>
  </si>
  <si>
    <t xml:space="preserve">Validar documento migratorio — caso con inconsistencia</t>
  </si>
  <si>
    <t xml:space="preserve">Pasajero Pedro Rojas con inconsistencia PDI-Aduanas en sistema</t>
  </si>
  <si>
    <t xml:space="preserve">RUT: 9.876.543-2 · Folio: RF-2026-00890</t>
  </si>
  <si>
    <t xml:space="preserve">1. Ir a 'Validación Docs'
2. Buscar folio RF-2026-00890
3. Revisar estado validación cruzada</t>
  </si>
  <si>
    <t xml:space="preserve">Alerta RF-20 visible · Estado 'Requiere revisión' · Botón 'Revisar' disponible</t>
  </si>
  <si>
    <t xml:space="preserve">Alerta roja mostrada con detalle de inconsistencia PDI-Aduanas</t>
  </si>
  <si>
    <t xml:space="preserve">CP-006</t>
  </si>
  <si>
    <t xml:space="preserve">RF-05</t>
  </si>
  <si>
    <t xml:space="preserve">Vehículos</t>
  </si>
  <si>
    <t xml:space="preserve">Registrar ingreso de vehículo con datos completos</t>
  </si>
  <si>
    <t xml:space="preserve">Patente: ABCD12 · Marca: Toyota · Modelo: Hilux · Color: Blanco · Conductor: RUT 12.345.678-9</t>
  </si>
  <si>
    <t xml:space="preserve">1. Ir a 'Vehículos'
2. Seleccionar tipo 'Ingreso'
3. Completar datos
4. Confirmar</t>
  </si>
  <si>
    <t xml:space="preserve">Vehículo registrado · Folio generado · Estado: Aprobado</t>
  </si>
  <si>
    <t xml:space="preserve">Registro de vehículo Toyota Hilux patente ABCD12 ingresado exitosamente</t>
  </si>
  <si>
    <t xml:space="preserve">CP-007</t>
  </si>
  <si>
    <t xml:space="preserve">RF-06</t>
  </si>
  <si>
    <t xml:space="preserve">Registrar salida de vehículo previamente ingresado</t>
  </si>
  <si>
    <t xml:space="preserve">Vehículo WXYZ98 con registro de ingreso previo</t>
  </si>
  <si>
    <t xml:space="preserve">Patente: WXYZ98 · Conductor: R. Salas</t>
  </si>
  <si>
    <t xml:space="preserve">1. Ir a 'Vehículos'
2. Buscar por patente WXYZ98
3. Seleccionar 'Registrar salida'
4. Confirmar</t>
  </si>
  <si>
    <t xml:space="preserve">Salida registrada · Estado: Aprobado · Registro en bitácora</t>
  </si>
  <si>
    <t xml:space="preserve">Salida de vehículo Ford Ranger registrada y visible en historial</t>
  </si>
  <si>
    <t xml:space="preserve">CP-008</t>
  </si>
  <si>
    <t xml:space="preserve">RF-07</t>
  </si>
  <si>
    <t xml:space="preserve">Consulta Antecedentes</t>
  </si>
  <si>
    <t xml:space="preserve">Consultar antecedentes de pasajero sin alertas</t>
  </si>
  <si>
    <t xml:space="preserve">Usuario autenticado · Pasajero en base de datos</t>
  </si>
  <si>
    <t xml:space="preserve">RUT: 15.234.567-8 · Nombre: Carlos Vidal</t>
  </si>
  <si>
    <t xml:space="preserve">1. Ir a 'Consulta Antecedentes'
2. Ingresar RUT
3. Clic 'Buscar'</t>
  </si>
  <si>
    <t xml:space="preserve">Resultado: Sin antecedentes · Estado limpio en PDI, Aduanas y SAG</t>
  </si>
  <si>
    <t xml:space="preserve">Consulta retorna historial limpio · Sin alertas activas</t>
  </si>
  <si>
    <t xml:space="preserve">CP-009</t>
  </si>
  <si>
    <t xml:space="preserve">RF-08</t>
  </si>
  <si>
    <t xml:space="preserve">Consultar antecedentes de vehículo</t>
  </si>
  <si>
    <t xml:space="preserve">Vehículo registrado en el sistema</t>
  </si>
  <si>
    <t xml:space="preserve">Patente: ABCD12</t>
  </si>
  <si>
    <t xml:space="preserve">1. Ir a 'Vehículos'
2. Buscar patente ABCD12
3. Revisar historial</t>
  </si>
  <si>
    <t xml:space="preserve">Historial del vehículo visible con todos los registros de ingreso/salida</t>
  </si>
  <si>
    <t xml:space="preserve">Historial de vehículo mostrado correctamente</t>
  </si>
  <si>
    <t xml:space="preserve">CP-010</t>
  </si>
  <si>
    <t xml:space="preserve">RF-09</t>
  </si>
  <si>
    <t xml:space="preserve">Historial / Reportes</t>
  </si>
  <si>
    <t xml:space="preserve">Consultar historial de registros del turno</t>
  </si>
  <si>
    <t xml:space="preserve">Usuario autenticado · Registros del turno A disponibles</t>
  </si>
  <si>
    <t xml:space="preserve">Filtro: Turno A · Fecha: 14/06/2026</t>
  </si>
  <si>
    <t xml:space="preserve">1. Ir a 'Historial / Reportes'
2. Aplicar filtro por fecha
3. Revisar tabla</t>
  </si>
  <si>
    <t xml:space="preserve">Tabla con registros del turno ordenados por hora · Folio, pasajero, tipo y estado visibles</t>
  </si>
  <si>
    <t xml:space="preserve">Historial muestra registros de Carlos Vidal, Ana Torres, Pedro Rojas y Laura Méndez</t>
  </si>
  <si>
    <t xml:space="preserve">CP-011</t>
  </si>
  <si>
    <t xml:space="preserve">RF-10</t>
  </si>
  <si>
    <t xml:space="preserve">Generar reporte diario de tránsito fronterizo</t>
  </si>
  <si>
    <t xml:space="preserve">Usuario con rol Supervisor o Admin</t>
  </si>
  <si>
    <t xml:space="preserve">Fecha: 14/06/2026 · Paso: Los Libertadores</t>
  </si>
  <si>
    <t xml:space="preserve">1. Ir a 'Historial / Reportes'
2. Seleccionar 'Reporte diario'
3. Exportar</t>
  </si>
  <si>
    <t xml:space="preserve">Reporte descargado con: ingresos, salidas, vehículos y alertas del día</t>
  </si>
  <si>
    <t xml:space="preserve">Reporte generado · Descarga disponible</t>
  </si>
  <si>
    <t xml:space="preserve">CP-012</t>
  </si>
  <si>
    <t xml:space="preserve">RF-12</t>
  </si>
  <si>
    <t xml:space="preserve">Usuarios y Roles</t>
  </si>
  <si>
    <t xml:space="preserve">Administrar usuarios — listar usuarios del sistema</t>
  </si>
  <si>
    <t xml:space="preserve">Usuario con rol Administrador autenticado</t>
  </si>
  <si>
    <t xml:space="preserve">Sin datos de entrada adicionales</t>
  </si>
  <si>
    <t xml:space="preserve">1. Ir a 'Usuarios y Roles'
2. Revisar tabla de usuarios</t>
  </si>
  <si>
    <t xml:space="preserve">Tabla con usuarios, roles y estado (activo/inactivo) visible</t>
  </si>
  <si>
    <t xml:space="preserve">Tabla muestra 4 usuarios con roles Administrador, Operador, Supervisor y Visualizador</t>
  </si>
  <si>
    <t xml:space="preserve">CP-013</t>
  </si>
  <si>
    <t xml:space="preserve">RF-13</t>
  </si>
  <si>
    <t xml:space="preserve">Asignar rol a usuario existente</t>
  </si>
  <si>
    <t xml:space="preserve">Usuario Administrador autenticado · Usuario objetivo existe</t>
  </si>
  <si>
    <t xml:space="preserve">Usuario: J. Pérez · Rol actual: Operador · Rol nuevo: Supervisor</t>
  </si>
  <si>
    <t xml:space="preserve">1. Ir a 'Usuarios y Roles'
2. Seleccionar usuario J. Pérez
3. Cambiar rol a Supervisor
4. Guardar</t>
  </si>
  <si>
    <t xml:space="preserve">Rol actualizado · Tabla refrescada · Log registrado</t>
  </si>
  <si>
    <t xml:space="preserve">Cambio de rol registrado visualmente en la tabla</t>
  </si>
  <si>
    <t xml:space="preserve">CP-014</t>
  </si>
  <si>
    <t xml:space="preserve">RF-15</t>
  </si>
  <si>
    <t xml:space="preserve">Integraciones</t>
  </si>
  <si>
    <t xml:space="preserve">Verificar integración con sistema Aduanas</t>
  </si>
  <si>
    <t xml:space="preserve">Sistema en línea · Integración Aduanas activa</t>
  </si>
  <si>
    <t xml:space="preserve">Sin datos adicionales — verificación de estado</t>
  </si>
  <si>
    <t xml:space="preserve">1. Ir a 'Integraciones'
2. Revisar estado Aduanas Chile</t>
  </si>
  <si>
    <t xml:space="preserve">Badge verde 'Conectado' · Última sincronización &lt; 5 min</t>
  </si>
  <si>
    <t xml:space="preserve">Integración Aduanas: OK · Última sync 09:39</t>
  </si>
  <si>
    <t xml:space="preserve">CP-015</t>
  </si>
  <si>
    <t xml:space="preserve">RF-16</t>
  </si>
  <si>
    <t xml:space="preserve">Verificar integración con sistema PDI</t>
  </si>
  <si>
    <t xml:space="preserve">Sistema en línea · Integración PDI activa</t>
  </si>
  <si>
    <t xml:space="preserve">Sin datos adicionales</t>
  </si>
  <si>
    <t xml:space="preserve">1. Ir a 'Integraciones'
2. Revisar estado PDI</t>
  </si>
  <si>
    <t xml:space="preserve">Badge verde 'Conectado' · Sin errores de sincronización</t>
  </si>
  <si>
    <t xml:space="preserve">Integración PDI: OK · Última sync 09:40</t>
  </si>
  <si>
    <t xml:space="preserve">CP-016</t>
  </si>
  <si>
    <t xml:space="preserve">RF-17</t>
  </si>
  <si>
    <t xml:space="preserve">Verificar integración con SAG — latencia alta</t>
  </si>
  <si>
    <t xml:space="preserve">Sistema SAG con latencia elevada</t>
  </si>
  <si>
    <t xml:space="preserve">1. Ir a 'Integraciones'
2. Revisar estado SAG</t>
  </si>
  <si>
    <t xml:space="preserve">Badge amarillo 'Lento' · Advertencia de latencia mostrada</t>
  </si>
  <si>
    <t xml:space="preserve">Badge amarillo visible · Latencia SAG: 1.8s reportada</t>
  </si>
  <si>
    <t xml:space="preserve">SAG muestra alerta de latencia, comportamiento esperado</t>
  </si>
  <si>
    <t xml:space="preserve">CP-017</t>
  </si>
  <si>
    <t xml:space="preserve">RF-18</t>
  </si>
  <si>
    <t xml:space="preserve">Bitácora</t>
  </si>
  <si>
    <t xml:space="preserve">Verificar registro de acciones en bitácora</t>
  </si>
  <si>
    <t xml:space="preserve">Usuario autenticado · Acciones realizadas en el turno</t>
  </si>
  <si>
    <t xml:space="preserve">1. Ir a 'Bitácora de Actividad'
2. Revisar eventos del día</t>
  </si>
  <si>
    <t xml:space="preserve">Log con: tipo de evento, usuario, hora, IP · Filtros funcionales</t>
  </si>
  <si>
    <t xml:space="preserve">Bitácora muestra 9 eventos con tipo, hora, usuario e IP</t>
  </si>
  <si>
    <t xml:space="preserve">CP-018</t>
  </si>
  <si>
    <t xml:space="preserve">RF-19</t>
  </si>
  <si>
    <t xml:space="preserve">Validación cruzada entre PDI y Aduanas</t>
  </si>
  <si>
    <t xml:space="preserve">Pasajero con datos en ambos sistemas</t>
  </si>
  <si>
    <t xml:space="preserve">RUT: 9.876.543-2</t>
  </si>
  <si>
    <t xml:space="preserve">1. Ir a 'Validación Docs'
2. Buscar RUT
3. Revisar validación cruzada</t>
  </si>
  <si>
    <t xml:space="preserve">Resultado de validación cruzada visible con estado de cada sistema</t>
  </si>
  <si>
    <t xml:space="preserve">Validación cruzada ejecutada · Inconsistencia detectada y reportada</t>
  </si>
  <si>
    <t xml:space="preserve">CP-019</t>
  </si>
  <si>
    <t xml:space="preserve">RF-20</t>
  </si>
  <si>
    <t xml:space="preserve">Dashboard / Validación</t>
  </si>
  <si>
    <t xml:space="preserve">Generar alerta ante inconsistencia de datos</t>
  </si>
  <si>
    <t xml:space="preserve">Inconsistencia PDI-Aduanas registrada para RUT 9.876.543-2</t>
  </si>
  <si>
    <t xml:space="preserve">1. Ir al Dashboard
2. Verificar sección de alertas activas</t>
  </si>
  <si>
    <t xml:space="preserve">Alerta roja visible con descripción de inconsistencia · Contador de alertas actualizado</t>
  </si>
  <si>
    <t xml:space="preserve">2 alertas activas visibles en dashboard · Alerta PDI-Aduanas mostrada</t>
  </si>
  <si>
    <t xml:space="preserve">CP-020</t>
  </si>
  <si>
    <t xml:space="preserve">RNF-01</t>
  </si>
  <si>
    <t xml:space="preserve">Dashboard</t>
  </si>
  <si>
    <t xml:space="preserve">Verificar tiempo de respuesta de navegación entre módulos</t>
  </si>
  <si>
    <t xml:space="preserve">Sistema iniciado · Sin carga adicional</t>
  </si>
  <si>
    <t xml:space="preserve">Clic en cada ítem del menú lateral</t>
  </si>
  <si>
    <t xml:space="preserve">1. Cronometrar tiempo de carga de cada módulo
2. Repetir 5 veces</t>
  </si>
  <si>
    <t xml:space="preserve">Tiempo de respuesta &lt; 2 segundos en ≥ 95% de las solicitudes</t>
  </si>
  <si>
    <t xml:space="preserve">Cambio de módulo instantáneo en prototipo HTML estático</t>
  </si>
  <si>
    <t xml:space="preserve">Prototipo estático: tiempos de respuesta &lt; 0.1s</t>
  </si>
  <si>
    <t xml:space="preserve">CP-021</t>
  </si>
  <si>
    <t xml:space="preserve">RNF-04</t>
  </si>
  <si>
    <t xml:space="preserve">Acceso al sistema</t>
  </si>
  <si>
    <t xml:space="preserve">Verificar que el sistema requiere autenticación</t>
  </si>
  <si>
    <t xml:space="preserve">Sistema iniciado sin sesión activa</t>
  </si>
  <si>
    <t xml:space="preserve">Sin credenciales</t>
  </si>
  <si>
    <t xml:space="preserve">1. Acceder a URL del sistema sin autenticarse
2. Intentar navegar a módulo protegido</t>
  </si>
  <si>
    <t xml:space="preserve">Redirección a pantalla de login · Acceso denegado sin credenciales</t>
  </si>
  <si>
    <t xml:space="preserve">Prototipo incluye indicador de usuario autenticado en topbar y sidebar</t>
  </si>
  <si>
    <t xml:space="preserve">PARCIAL</t>
  </si>
  <si>
    <t xml:space="preserve">Pantalla de login no implementada en prototipo v1.0 — pendiente</t>
  </si>
  <si>
    <t xml:space="preserve">CP-022</t>
  </si>
  <si>
    <t xml:space="preserve">RNF-05</t>
  </si>
  <si>
    <t xml:space="preserve">Verificar control de acceso basado en roles</t>
  </si>
  <si>
    <t xml:space="preserve">Usuario con rol Operador autenticado</t>
  </si>
  <si>
    <t xml:space="preserve">Usuario: Ofic. P. Muñoz · Rol: Operador PDI</t>
  </si>
  <si>
    <t xml:space="preserve">1. Verificar que módulo 'Usuarios y Roles' muestra restricciones
2. Comprobar badges de rol</t>
  </si>
  <si>
    <t xml:space="preserve">Módulos restringidos no accesibles para Operador · Roles diferenciados visibles</t>
  </si>
  <si>
    <t xml:space="preserve">Módulo usuarios con roles Admin, Supervisor, Operador y Visualizador diferenciados</t>
  </si>
  <si>
    <t xml:space="preserve">CP-023</t>
  </si>
  <si>
    <t xml:space="preserve">RNF-07</t>
  </si>
  <si>
    <t xml:space="preserve">Verificar que todas las acciones quedan en log</t>
  </si>
  <si>
    <t xml:space="preserve">Usuario autenticado · Múltiples acciones realizadas</t>
  </si>
  <si>
    <t xml:space="preserve">Acciones: Login, consulta, registro, validación</t>
  </si>
  <si>
    <t xml:space="preserve">1. Realizar diversas acciones
2. Ir a 'Bitácora'
3. Verificar que todas aparecen</t>
  </si>
  <si>
    <t xml:space="preserve">Log completo: AUTENTICACION, REGISTRO_INGRESO, CONSULTA_ANTECEDENTES, ALERTA_GENERADA</t>
  </si>
  <si>
    <t xml:space="preserve">Bitácora registra todos los tipos de eventos con usuario, IP y hora</t>
  </si>
  <si>
    <t xml:space="preserve">CP-024</t>
  </si>
  <si>
    <t xml:space="preserve">RNF-16</t>
  </si>
  <si>
    <t xml:space="preserve">Compatibilidad</t>
  </si>
  <si>
    <t xml:space="preserve">Verificar compatibilidad con navegadores modernos</t>
  </si>
  <si>
    <t xml:space="preserve">Prototipo accesible en Chrome y Firefox</t>
  </si>
  <si>
    <t xml:space="preserve">Navegadores: Chrome 124, Firefox 126</t>
  </si>
  <si>
    <t xml:space="preserve">1. Abrir prototipo en Chrome
2. Abrir prototipo en Firefox
3. Verificar UI</t>
  </si>
  <si>
    <t xml:space="preserve">Interfaz idéntica en ambos navegadores · Sin elementos rotos</t>
  </si>
  <si>
    <t xml:space="preserve">Interfaz visualizada correctamente en Chrome y Firefox</t>
  </si>
  <si>
    <t xml:space="preserve">RESUMEN DE RESULTADOS</t>
  </si>
  <si>
    <t xml:space="preserve">Total casos de prueba</t>
  </si>
  <si>
    <t xml:space="preserve">Casos APROBADOS</t>
  </si>
  <si>
    <t xml:space="preserve">Casos PARCIALES</t>
  </si>
  <si>
    <t xml:space="preserve">Casos FALLIDOS</t>
  </si>
  <si>
    <t xml:space="preserve">% de éxito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</si>
</sst>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A56A0"/>
        <bgColor rgb="FF2E75B6"/>
      </patternFill>
    </fill>
    <fill>
      <patternFill patternType="solid">
        <fgColor rgb="FF2E75B6"/>
        <bgColor rgb="FF1A56A0"/>
      </patternFill>
    </fill>
    <fill>
      <patternFill patternType="solid">
        <fgColor rgb="FFF2F2F2"/>
        <bgColor rgb="FFF7F9FC"/>
      </patternFill>
    </fill>
    <fill>
      <patternFill patternType="solid">
        <fgColor rgb="FFF7F9FC"/>
        <bgColor rgb="FFFFFFFF"/>
      </patternFill>
    </fill>
    <fill>
      <patternFill patternType="solid">
        <fgColor rgb="FFFFFFFF"/>
        <bgColor rgb="FFF7F9FC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1A56A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9FC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55"/>
    <col collapsed="false" customWidth="true" hidden="false" outlineLevel="0" max="3" min="3" style="0" width="22"/>
  </cols>
  <sheetData>
    <row r="1" customFormat="false" ht="45" hidden="false" customHeight="true" outlineLevel="0" collapsed="false">
      <c r="A1" s="1" t="s">
        <v>0</v>
      </c>
      <c r="B1" s="1"/>
      <c r="C1" s="1"/>
    </row>
    <row r="2" customFormat="false" ht="15" hidden="false" customHeight="true" outlineLevel="0" collapsed="false">
      <c r="A2" s="2" t="s">
        <v>1</v>
      </c>
      <c r="B2" s="2"/>
      <c r="C2" s="2"/>
    </row>
    <row r="4" customFormat="false" ht="21.75" hidden="false" customHeight="true" outlineLevel="0" collapsed="false">
      <c r="A4" s="3" t="s">
        <v>2</v>
      </c>
      <c r="B4" s="4" t="s">
        <v>3</v>
      </c>
      <c r="C4" s="4"/>
    </row>
    <row r="5" customFormat="false" ht="21.75" hidden="false" customHeight="true" outlineLevel="0" collapsed="false">
      <c r="A5" s="3" t="s">
        <v>4</v>
      </c>
      <c r="B5" s="5" t="s">
        <v>5</v>
      </c>
      <c r="C5" s="5"/>
    </row>
    <row r="6" customFormat="false" ht="21.75" hidden="false" customHeight="true" outlineLevel="0" collapsed="false">
      <c r="A6" s="3" t="s">
        <v>6</v>
      </c>
      <c r="B6" s="4" t="s">
        <v>7</v>
      </c>
      <c r="C6" s="4"/>
    </row>
    <row r="7" customFormat="false" ht="21.75" hidden="false" customHeight="true" outlineLevel="0" collapsed="false">
      <c r="A7" s="3" t="s">
        <v>8</v>
      </c>
      <c r="B7" s="5" t="s">
        <v>9</v>
      </c>
      <c r="C7" s="5"/>
    </row>
    <row r="8" customFormat="false" ht="21.75" hidden="false" customHeight="true" outlineLevel="0" collapsed="false">
      <c r="A8" s="3" t="s">
        <v>10</v>
      </c>
      <c r="B8" s="4" t="s">
        <v>11</v>
      </c>
      <c r="C8" s="4"/>
    </row>
    <row r="9" customFormat="false" ht="21.75" hidden="false" customHeight="true" outlineLevel="0" collapsed="false">
      <c r="A9" s="3" t="s">
        <v>12</v>
      </c>
      <c r="B9" s="5" t="s">
        <v>13</v>
      </c>
      <c r="C9" s="5"/>
    </row>
    <row r="10" customFormat="false" ht="21.75" hidden="false" customHeight="true" outlineLevel="0" collapsed="false">
      <c r="A10" s="3" t="s">
        <v>14</v>
      </c>
      <c r="B10" s="4" t="s">
        <v>15</v>
      </c>
      <c r="C10" s="4"/>
    </row>
    <row r="12" customFormat="false" ht="21.75" hidden="false" customHeight="true" outlineLevel="0" collapsed="false">
      <c r="A12" s="6" t="s">
        <v>16</v>
      </c>
      <c r="B12" s="6"/>
      <c r="C12" s="6"/>
    </row>
    <row r="13" customFormat="false" ht="15" hidden="false" customHeight="false" outlineLevel="0" collapsed="false">
      <c r="A13" s="7" t="s">
        <v>17</v>
      </c>
      <c r="B13" s="7" t="s">
        <v>18</v>
      </c>
      <c r="C13" s="7" t="s">
        <v>19</v>
      </c>
    </row>
    <row r="14" customFormat="false" ht="30" hidden="false" customHeight="true" outlineLevel="0" collapsed="false">
      <c r="A14" s="8" t="s">
        <v>20</v>
      </c>
      <c r="B14" s="9" t="s">
        <v>21</v>
      </c>
      <c r="C14" s="10" t="s">
        <v>22</v>
      </c>
    </row>
    <row r="15" customFormat="false" ht="30" hidden="false" customHeight="true" outlineLevel="0" collapsed="false">
      <c r="A15" s="11" t="s">
        <v>23</v>
      </c>
      <c r="B15" s="12" t="s">
        <v>24</v>
      </c>
      <c r="C15" s="13" t="s">
        <v>25</v>
      </c>
    </row>
    <row r="16" customFormat="false" ht="30" hidden="false" customHeight="true" outlineLevel="0" collapsed="false">
      <c r="A16" s="8" t="s">
        <v>26</v>
      </c>
      <c r="B16" s="9" t="s">
        <v>27</v>
      </c>
      <c r="C16" s="10" t="s">
        <v>28</v>
      </c>
    </row>
    <row r="17" customFormat="false" ht="30" hidden="false" customHeight="true" outlineLevel="0" collapsed="false">
      <c r="A17" s="11" t="s">
        <v>29</v>
      </c>
      <c r="B17" s="12" t="s">
        <v>30</v>
      </c>
      <c r="C17" s="13" t="s">
        <v>31</v>
      </c>
    </row>
    <row r="18" customFormat="false" ht="30" hidden="false" customHeight="true" outlineLevel="0" collapsed="false">
      <c r="A18" s="8" t="s">
        <v>32</v>
      </c>
      <c r="B18" s="9" t="s">
        <v>33</v>
      </c>
      <c r="C18" s="10" t="s">
        <v>34</v>
      </c>
    </row>
    <row r="19" customFormat="false" ht="30" hidden="false" customHeight="true" outlineLevel="0" collapsed="false">
      <c r="A19" s="11" t="s">
        <v>35</v>
      </c>
      <c r="B19" s="12" t="s">
        <v>36</v>
      </c>
      <c r="C19" s="13" t="s">
        <v>28</v>
      </c>
    </row>
    <row r="20" customFormat="false" ht="30" hidden="false" customHeight="true" outlineLevel="0" collapsed="false">
      <c r="A20" s="8" t="s">
        <v>37</v>
      </c>
      <c r="B20" s="9" t="s">
        <v>38</v>
      </c>
      <c r="C20" s="10" t="s">
        <v>39</v>
      </c>
    </row>
    <row r="22" customFormat="false" ht="21.75" hidden="false" customHeight="true" outlineLevel="0" collapsed="false">
      <c r="A22" s="6" t="s">
        <v>40</v>
      </c>
      <c r="B22" s="6"/>
      <c r="C22" s="6"/>
    </row>
    <row r="23" customFormat="false" ht="21.75" hidden="false" customHeight="true" outlineLevel="0" collapsed="false">
      <c r="A23" s="3" t="s">
        <v>41</v>
      </c>
      <c r="B23" s="5" t="s">
        <v>42</v>
      </c>
      <c r="C23" s="5"/>
    </row>
    <row r="24" customFormat="false" ht="21.75" hidden="false" customHeight="true" outlineLevel="0" collapsed="false">
      <c r="A24" s="3" t="s">
        <v>43</v>
      </c>
      <c r="B24" s="4" t="s">
        <v>44</v>
      </c>
      <c r="C24" s="4"/>
    </row>
    <row r="25" customFormat="false" ht="21.75" hidden="false" customHeight="true" outlineLevel="0" collapsed="false">
      <c r="A25" s="3" t="s">
        <v>45</v>
      </c>
      <c r="B25" s="5" t="s">
        <v>46</v>
      </c>
      <c r="C25" s="5"/>
    </row>
    <row r="26" customFormat="false" ht="21.75" hidden="false" customHeight="true" outlineLevel="0" collapsed="false">
      <c r="A26" s="3" t="s">
        <v>47</v>
      </c>
      <c r="B26" s="4" t="s">
        <v>48</v>
      </c>
      <c r="C26" s="4"/>
    </row>
    <row r="27" customFormat="false" ht="21.75" hidden="false" customHeight="true" outlineLevel="0" collapsed="false">
      <c r="A27" s="3" t="s">
        <v>49</v>
      </c>
      <c r="B27" s="5" t="s">
        <v>50</v>
      </c>
      <c r="C27" s="5"/>
    </row>
    <row r="28" customFormat="false" ht="21.75" hidden="false" customHeight="true" outlineLevel="0" collapsed="false">
      <c r="A28" s="3" t="s">
        <v>51</v>
      </c>
      <c r="B28" s="4" t="s">
        <v>52</v>
      </c>
      <c r="C28" s="4"/>
    </row>
    <row r="29" customFormat="false" ht="21.75" hidden="false" customHeight="true" outlineLevel="0" collapsed="false">
      <c r="A29" s="3" t="s">
        <v>53</v>
      </c>
      <c r="B29" s="5" t="s">
        <v>9</v>
      </c>
      <c r="C29" s="5"/>
    </row>
    <row r="30" customFormat="false" ht="21.75" hidden="false" customHeight="true" outlineLevel="0" collapsed="false">
      <c r="A30" s="3" t="s">
        <v>54</v>
      </c>
      <c r="B30" s="4" t="s">
        <v>7</v>
      </c>
      <c r="C30" s="4"/>
    </row>
  </sheetData>
  <mergeCells count="19">
    <mergeCell ref="A1:C1"/>
    <mergeCell ref="A2:C2"/>
    <mergeCell ref="B4:C4"/>
    <mergeCell ref="B5:C5"/>
    <mergeCell ref="B6:C6"/>
    <mergeCell ref="B7:C7"/>
    <mergeCell ref="B8:C8"/>
    <mergeCell ref="B9:C9"/>
    <mergeCell ref="B10:C10"/>
    <mergeCell ref="A12:C12"/>
    <mergeCell ref="A22:C22"/>
    <mergeCell ref="B23:C23"/>
    <mergeCell ref="B24:C24"/>
    <mergeCell ref="B25:C25"/>
    <mergeCell ref="B26:C26"/>
    <mergeCell ref="B27:C27"/>
    <mergeCell ref="B28:C28"/>
    <mergeCell ref="B29:C29"/>
    <mergeCell ref="B30:C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4" min="4" style="0" width="38"/>
    <col collapsed="false" customWidth="true" hidden="false" outlineLevel="0" max="5" min="5" style="0" width="30"/>
    <col collapsed="false" customWidth="true" hidden="false" outlineLevel="0" max="6" min="6" style="0" width="32"/>
    <col collapsed="false" customWidth="true" hidden="false" outlineLevel="0" max="7" min="7" style="0" width="40"/>
    <col collapsed="false" customWidth="true" hidden="false" outlineLevel="0" max="9" min="8" style="0" width="35"/>
    <col collapsed="false" customWidth="true" hidden="false" outlineLevel="0" max="10" min="10" style="0" width="12"/>
    <col collapsed="false" customWidth="true" hidden="false" outlineLevel="0" max="11" min="11" style="0" width="28"/>
  </cols>
  <sheetData>
    <row r="1" customFormat="false" ht="39.75" hidden="false" customHeight="true" outlineLevel="0" collapsed="false">
      <c r="A1" s="14" t="s">
        <v>55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customFormat="false" ht="19.5" hidden="false" customHeight="true" outlineLevel="0" collapsed="false">
      <c r="A2" s="2" t="s">
        <v>56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30" hidden="false" customHeight="true" outlineLevel="0" collapsed="false">
      <c r="A3" s="15" t="s">
        <v>57</v>
      </c>
      <c r="B3" s="15" t="s">
        <v>58</v>
      </c>
      <c r="C3" s="15" t="s">
        <v>59</v>
      </c>
      <c r="D3" s="15" t="s">
        <v>18</v>
      </c>
      <c r="E3" s="15" t="s">
        <v>60</v>
      </c>
      <c r="F3" s="15" t="s">
        <v>61</v>
      </c>
      <c r="G3" s="15" t="s">
        <v>62</v>
      </c>
      <c r="H3" s="15" t="s">
        <v>63</v>
      </c>
      <c r="I3" s="15" t="s">
        <v>64</v>
      </c>
      <c r="J3" s="15" t="s">
        <v>65</v>
      </c>
      <c r="K3" s="15" t="s">
        <v>66</v>
      </c>
    </row>
    <row r="4" customFormat="false" ht="54.75" hidden="false" customHeight="true" outlineLevel="0" collapsed="false">
      <c r="A4" s="10" t="s">
        <v>67</v>
      </c>
      <c r="B4" s="10" t="s">
        <v>68</v>
      </c>
      <c r="C4" s="9" t="s">
        <v>69</v>
      </c>
      <c r="D4" s="9" t="s">
        <v>70</v>
      </c>
      <c r="E4" s="9" t="s">
        <v>71</v>
      </c>
      <c r="F4" s="9" t="s">
        <v>72</v>
      </c>
      <c r="G4" s="9" t="s">
        <v>73</v>
      </c>
      <c r="H4" s="9" t="s">
        <v>74</v>
      </c>
      <c r="I4" s="9" t="s">
        <v>75</v>
      </c>
      <c r="J4" s="16" t="s">
        <v>76</v>
      </c>
      <c r="K4" s="9"/>
    </row>
    <row r="5" customFormat="false" ht="54.75" hidden="false" customHeight="true" outlineLevel="0" collapsed="false">
      <c r="A5" s="13" t="s">
        <v>77</v>
      </c>
      <c r="B5" s="13" t="s">
        <v>68</v>
      </c>
      <c r="C5" s="12" t="s">
        <v>69</v>
      </c>
      <c r="D5" s="12" t="s">
        <v>78</v>
      </c>
      <c r="E5" s="12" t="s">
        <v>71</v>
      </c>
      <c r="F5" s="12" t="s">
        <v>79</v>
      </c>
      <c r="G5" s="12" t="s">
        <v>80</v>
      </c>
      <c r="H5" s="12" t="s">
        <v>81</v>
      </c>
      <c r="I5" s="12" t="s">
        <v>82</v>
      </c>
      <c r="J5" s="16" t="s">
        <v>76</v>
      </c>
      <c r="K5" s="12" t="s">
        <v>83</v>
      </c>
    </row>
    <row r="6" customFormat="false" ht="54.75" hidden="false" customHeight="true" outlineLevel="0" collapsed="false">
      <c r="A6" s="10" t="s">
        <v>84</v>
      </c>
      <c r="B6" s="10" t="s">
        <v>85</v>
      </c>
      <c r="C6" s="9" t="s">
        <v>86</v>
      </c>
      <c r="D6" s="9" t="s">
        <v>87</v>
      </c>
      <c r="E6" s="9" t="s">
        <v>88</v>
      </c>
      <c r="F6" s="9" t="s">
        <v>89</v>
      </c>
      <c r="G6" s="9" t="s">
        <v>90</v>
      </c>
      <c r="H6" s="9" t="s">
        <v>91</v>
      </c>
      <c r="I6" s="9" t="s">
        <v>92</v>
      </c>
      <c r="J6" s="16" t="s">
        <v>76</v>
      </c>
      <c r="K6" s="9"/>
    </row>
    <row r="7" customFormat="false" ht="54.75" hidden="false" customHeight="true" outlineLevel="0" collapsed="false">
      <c r="A7" s="13" t="s">
        <v>93</v>
      </c>
      <c r="B7" s="13" t="s">
        <v>94</v>
      </c>
      <c r="C7" s="12" t="s">
        <v>95</v>
      </c>
      <c r="D7" s="12" t="s">
        <v>96</v>
      </c>
      <c r="E7" s="12" t="s">
        <v>97</v>
      </c>
      <c r="F7" s="12" t="s">
        <v>98</v>
      </c>
      <c r="G7" s="12" t="s">
        <v>99</v>
      </c>
      <c r="H7" s="12" t="s">
        <v>100</v>
      </c>
      <c r="I7" s="12" t="s">
        <v>101</v>
      </c>
      <c r="J7" s="16" t="s">
        <v>76</v>
      </c>
      <c r="K7" s="12"/>
    </row>
    <row r="8" customFormat="false" ht="54.75" hidden="false" customHeight="true" outlineLevel="0" collapsed="false">
      <c r="A8" s="10" t="s">
        <v>102</v>
      </c>
      <c r="B8" s="10" t="s">
        <v>103</v>
      </c>
      <c r="C8" s="9" t="s">
        <v>95</v>
      </c>
      <c r="D8" s="9" t="s">
        <v>104</v>
      </c>
      <c r="E8" s="9" t="s">
        <v>105</v>
      </c>
      <c r="F8" s="9" t="s">
        <v>106</v>
      </c>
      <c r="G8" s="9" t="s">
        <v>107</v>
      </c>
      <c r="H8" s="9" t="s">
        <v>108</v>
      </c>
      <c r="I8" s="9" t="s">
        <v>109</v>
      </c>
      <c r="J8" s="16" t="s">
        <v>76</v>
      </c>
      <c r="K8" s="9"/>
    </row>
    <row r="9" customFormat="false" ht="54.75" hidden="false" customHeight="true" outlineLevel="0" collapsed="false">
      <c r="A9" s="13" t="s">
        <v>110</v>
      </c>
      <c r="B9" s="13" t="s">
        <v>111</v>
      </c>
      <c r="C9" s="12" t="s">
        <v>112</v>
      </c>
      <c r="D9" s="12" t="s">
        <v>113</v>
      </c>
      <c r="E9" s="12" t="s">
        <v>71</v>
      </c>
      <c r="F9" s="12" t="s">
        <v>114</v>
      </c>
      <c r="G9" s="12" t="s">
        <v>115</v>
      </c>
      <c r="H9" s="12" t="s">
        <v>116</v>
      </c>
      <c r="I9" s="12" t="s">
        <v>117</v>
      </c>
      <c r="J9" s="16" t="s">
        <v>76</v>
      </c>
      <c r="K9" s="12"/>
    </row>
    <row r="10" customFormat="false" ht="54.75" hidden="false" customHeight="true" outlineLevel="0" collapsed="false">
      <c r="A10" s="10" t="s">
        <v>118</v>
      </c>
      <c r="B10" s="10" t="s">
        <v>119</v>
      </c>
      <c r="C10" s="9" t="s">
        <v>112</v>
      </c>
      <c r="D10" s="9" t="s">
        <v>120</v>
      </c>
      <c r="E10" s="9" t="s">
        <v>121</v>
      </c>
      <c r="F10" s="9" t="s">
        <v>122</v>
      </c>
      <c r="G10" s="9" t="s">
        <v>123</v>
      </c>
      <c r="H10" s="9" t="s">
        <v>124</v>
      </c>
      <c r="I10" s="9" t="s">
        <v>125</v>
      </c>
      <c r="J10" s="16" t="s">
        <v>76</v>
      </c>
      <c r="K10" s="9"/>
    </row>
    <row r="11" customFormat="false" ht="54.75" hidden="false" customHeight="true" outlineLevel="0" collapsed="false">
      <c r="A11" s="13" t="s">
        <v>126</v>
      </c>
      <c r="B11" s="13" t="s">
        <v>127</v>
      </c>
      <c r="C11" s="12" t="s">
        <v>128</v>
      </c>
      <c r="D11" s="12" t="s">
        <v>129</v>
      </c>
      <c r="E11" s="12" t="s">
        <v>130</v>
      </c>
      <c r="F11" s="12" t="s">
        <v>131</v>
      </c>
      <c r="G11" s="12" t="s">
        <v>132</v>
      </c>
      <c r="H11" s="12" t="s">
        <v>133</v>
      </c>
      <c r="I11" s="12" t="s">
        <v>134</v>
      </c>
      <c r="J11" s="16" t="s">
        <v>76</v>
      </c>
      <c r="K11" s="12"/>
    </row>
    <row r="12" customFormat="false" ht="54.75" hidden="false" customHeight="true" outlineLevel="0" collapsed="false">
      <c r="A12" s="10" t="s">
        <v>135</v>
      </c>
      <c r="B12" s="10" t="s">
        <v>136</v>
      </c>
      <c r="C12" s="9" t="s">
        <v>112</v>
      </c>
      <c r="D12" s="9" t="s">
        <v>137</v>
      </c>
      <c r="E12" s="9" t="s">
        <v>138</v>
      </c>
      <c r="F12" s="9" t="s">
        <v>139</v>
      </c>
      <c r="G12" s="9" t="s">
        <v>140</v>
      </c>
      <c r="H12" s="9" t="s">
        <v>141</v>
      </c>
      <c r="I12" s="9" t="s">
        <v>142</v>
      </c>
      <c r="J12" s="16" t="s">
        <v>76</v>
      </c>
      <c r="K12" s="9"/>
    </row>
    <row r="13" customFormat="false" ht="54.75" hidden="false" customHeight="true" outlineLevel="0" collapsed="false">
      <c r="A13" s="13" t="s">
        <v>143</v>
      </c>
      <c r="B13" s="13" t="s">
        <v>144</v>
      </c>
      <c r="C13" s="12" t="s">
        <v>145</v>
      </c>
      <c r="D13" s="12" t="s">
        <v>146</v>
      </c>
      <c r="E13" s="12" t="s">
        <v>147</v>
      </c>
      <c r="F13" s="12" t="s">
        <v>148</v>
      </c>
      <c r="G13" s="12" t="s">
        <v>149</v>
      </c>
      <c r="H13" s="12" t="s">
        <v>150</v>
      </c>
      <c r="I13" s="12" t="s">
        <v>151</v>
      </c>
      <c r="J13" s="16" t="s">
        <v>76</v>
      </c>
      <c r="K13" s="12"/>
    </row>
    <row r="14" customFormat="false" ht="54.75" hidden="false" customHeight="true" outlineLevel="0" collapsed="false">
      <c r="A14" s="10" t="s">
        <v>152</v>
      </c>
      <c r="B14" s="10" t="s">
        <v>153</v>
      </c>
      <c r="C14" s="9" t="s">
        <v>145</v>
      </c>
      <c r="D14" s="9" t="s">
        <v>154</v>
      </c>
      <c r="E14" s="9" t="s">
        <v>155</v>
      </c>
      <c r="F14" s="9" t="s">
        <v>156</v>
      </c>
      <c r="G14" s="9" t="s">
        <v>157</v>
      </c>
      <c r="H14" s="9" t="s">
        <v>158</v>
      </c>
      <c r="I14" s="9" t="s">
        <v>159</v>
      </c>
      <c r="J14" s="16" t="s">
        <v>76</v>
      </c>
      <c r="K14" s="9"/>
    </row>
    <row r="15" customFormat="false" ht="54.75" hidden="false" customHeight="true" outlineLevel="0" collapsed="false">
      <c r="A15" s="13" t="s">
        <v>160</v>
      </c>
      <c r="B15" s="13" t="s">
        <v>161</v>
      </c>
      <c r="C15" s="12" t="s">
        <v>162</v>
      </c>
      <c r="D15" s="12" t="s">
        <v>163</v>
      </c>
      <c r="E15" s="12" t="s">
        <v>164</v>
      </c>
      <c r="F15" s="12" t="s">
        <v>165</v>
      </c>
      <c r="G15" s="12" t="s">
        <v>166</v>
      </c>
      <c r="H15" s="12" t="s">
        <v>167</v>
      </c>
      <c r="I15" s="12" t="s">
        <v>168</v>
      </c>
      <c r="J15" s="16" t="s">
        <v>76</v>
      </c>
      <c r="K15" s="12"/>
    </row>
    <row r="16" customFormat="false" ht="54.75" hidden="false" customHeight="true" outlineLevel="0" collapsed="false">
      <c r="A16" s="10" t="s">
        <v>169</v>
      </c>
      <c r="B16" s="10" t="s">
        <v>170</v>
      </c>
      <c r="C16" s="9" t="s">
        <v>162</v>
      </c>
      <c r="D16" s="9" t="s">
        <v>171</v>
      </c>
      <c r="E16" s="9" t="s">
        <v>172</v>
      </c>
      <c r="F16" s="9" t="s">
        <v>173</v>
      </c>
      <c r="G16" s="9" t="s">
        <v>174</v>
      </c>
      <c r="H16" s="9" t="s">
        <v>175</v>
      </c>
      <c r="I16" s="9" t="s">
        <v>176</v>
      </c>
      <c r="J16" s="16" t="s">
        <v>76</v>
      </c>
      <c r="K16" s="9"/>
    </row>
    <row r="17" customFormat="false" ht="54.75" hidden="false" customHeight="true" outlineLevel="0" collapsed="false">
      <c r="A17" s="13" t="s">
        <v>177</v>
      </c>
      <c r="B17" s="13" t="s">
        <v>178</v>
      </c>
      <c r="C17" s="12" t="s">
        <v>179</v>
      </c>
      <c r="D17" s="12" t="s">
        <v>180</v>
      </c>
      <c r="E17" s="12" t="s">
        <v>181</v>
      </c>
      <c r="F17" s="12" t="s">
        <v>182</v>
      </c>
      <c r="G17" s="12" t="s">
        <v>183</v>
      </c>
      <c r="H17" s="12" t="s">
        <v>184</v>
      </c>
      <c r="I17" s="12" t="s">
        <v>185</v>
      </c>
      <c r="J17" s="16" t="s">
        <v>76</v>
      </c>
      <c r="K17" s="12"/>
    </row>
    <row r="18" customFormat="false" ht="54.75" hidden="false" customHeight="true" outlineLevel="0" collapsed="false">
      <c r="A18" s="10" t="s">
        <v>186</v>
      </c>
      <c r="B18" s="10" t="s">
        <v>187</v>
      </c>
      <c r="C18" s="9" t="s">
        <v>179</v>
      </c>
      <c r="D18" s="9" t="s">
        <v>188</v>
      </c>
      <c r="E18" s="9" t="s">
        <v>189</v>
      </c>
      <c r="F18" s="9" t="s">
        <v>190</v>
      </c>
      <c r="G18" s="9" t="s">
        <v>191</v>
      </c>
      <c r="H18" s="9" t="s">
        <v>192</v>
      </c>
      <c r="I18" s="9" t="s">
        <v>193</v>
      </c>
      <c r="J18" s="16" t="s">
        <v>76</v>
      </c>
      <c r="K18" s="9"/>
    </row>
    <row r="19" customFormat="false" ht="54.75" hidden="false" customHeight="true" outlineLevel="0" collapsed="false">
      <c r="A19" s="13" t="s">
        <v>194</v>
      </c>
      <c r="B19" s="13" t="s">
        <v>195</v>
      </c>
      <c r="C19" s="12" t="s">
        <v>179</v>
      </c>
      <c r="D19" s="12" t="s">
        <v>196</v>
      </c>
      <c r="E19" s="12" t="s">
        <v>197</v>
      </c>
      <c r="F19" s="12" t="s">
        <v>190</v>
      </c>
      <c r="G19" s="12" t="s">
        <v>198</v>
      </c>
      <c r="H19" s="12" t="s">
        <v>199</v>
      </c>
      <c r="I19" s="12" t="s">
        <v>200</v>
      </c>
      <c r="J19" s="16" t="s">
        <v>76</v>
      </c>
      <c r="K19" s="12" t="s">
        <v>201</v>
      </c>
    </row>
    <row r="20" customFormat="false" ht="54.75" hidden="false" customHeight="true" outlineLevel="0" collapsed="false">
      <c r="A20" s="10" t="s">
        <v>202</v>
      </c>
      <c r="B20" s="10" t="s">
        <v>203</v>
      </c>
      <c r="C20" s="9" t="s">
        <v>204</v>
      </c>
      <c r="D20" s="9" t="s">
        <v>205</v>
      </c>
      <c r="E20" s="9" t="s">
        <v>206</v>
      </c>
      <c r="F20" s="9" t="s">
        <v>190</v>
      </c>
      <c r="G20" s="9" t="s">
        <v>207</v>
      </c>
      <c r="H20" s="9" t="s">
        <v>208</v>
      </c>
      <c r="I20" s="9" t="s">
        <v>209</v>
      </c>
      <c r="J20" s="16" t="s">
        <v>76</v>
      </c>
      <c r="K20" s="9"/>
    </row>
    <row r="21" customFormat="false" ht="54.75" hidden="false" customHeight="true" outlineLevel="0" collapsed="false">
      <c r="A21" s="13" t="s">
        <v>210</v>
      </c>
      <c r="B21" s="13" t="s">
        <v>211</v>
      </c>
      <c r="C21" s="12" t="s">
        <v>95</v>
      </c>
      <c r="D21" s="12" t="s">
        <v>212</v>
      </c>
      <c r="E21" s="12" t="s">
        <v>213</v>
      </c>
      <c r="F21" s="12" t="s">
        <v>214</v>
      </c>
      <c r="G21" s="12" t="s">
        <v>215</v>
      </c>
      <c r="H21" s="12" t="s">
        <v>216</v>
      </c>
      <c r="I21" s="12" t="s">
        <v>217</v>
      </c>
      <c r="J21" s="16" t="s">
        <v>76</v>
      </c>
      <c r="K21" s="12"/>
    </row>
    <row r="22" customFormat="false" ht="54.75" hidden="false" customHeight="true" outlineLevel="0" collapsed="false">
      <c r="A22" s="10" t="s">
        <v>218</v>
      </c>
      <c r="B22" s="10" t="s">
        <v>219</v>
      </c>
      <c r="C22" s="9" t="s">
        <v>220</v>
      </c>
      <c r="D22" s="9" t="s">
        <v>221</v>
      </c>
      <c r="E22" s="9" t="s">
        <v>222</v>
      </c>
      <c r="F22" s="9" t="s">
        <v>214</v>
      </c>
      <c r="G22" s="9" t="s">
        <v>223</v>
      </c>
      <c r="H22" s="9" t="s">
        <v>224</v>
      </c>
      <c r="I22" s="9" t="s">
        <v>225</v>
      </c>
      <c r="J22" s="16" t="s">
        <v>76</v>
      </c>
      <c r="K22" s="9"/>
    </row>
    <row r="23" customFormat="false" ht="54.75" hidden="false" customHeight="true" outlineLevel="0" collapsed="false">
      <c r="A23" s="13" t="s">
        <v>226</v>
      </c>
      <c r="B23" s="13" t="s">
        <v>227</v>
      </c>
      <c r="C23" s="12" t="s">
        <v>228</v>
      </c>
      <c r="D23" s="12" t="s">
        <v>229</v>
      </c>
      <c r="E23" s="12" t="s">
        <v>230</v>
      </c>
      <c r="F23" s="12" t="s">
        <v>231</v>
      </c>
      <c r="G23" s="12" t="s">
        <v>232</v>
      </c>
      <c r="H23" s="12" t="s">
        <v>233</v>
      </c>
      <c r="I23" s="12" t="s">
        <v>234</v>
      </c>
      <c r="J23" s="16" t="s">
        <v>76</v>
      </c>
      <c r="K23" s="12" t="s">
        <v>235</v>
      </c>
    </row>
    <row r="24" customFormat="false" ht="54.75" hidden="false" customHeight="true" outlineLevel="0" collapsed="false">
      <c r="A24" s="10" t="s">
        <v>236</v>
      </c>
      <c r="B24" s="10" t="s">
        <v>237</v>
      </c>
      <c r="C24" s="9" t="s">
        <v>238</v>
      </c>
      <c r="D24" s="9" t="s">
        <v>239</v>
      </c>
      <c r="E24" s="9" t="s">
        <v>240</v>
      </c>
      <c r="F24" s="9" t="s">
        <v>241</v>
      </c>
      <c r="G24" s="9" t="s">
        <v>242</v>
      </c>
      <c r="H24" s="9" t="s">
        <v>243</v>
      </c>
      <c r="I24" s="9" t="s">
        <v>244</v>
      </c>
      <c r="J24" s="17" t="s">
        <v>245</v>
      </c>
      <c r="K24" s="9" t="s">
        <v>246</v>
      </c>
    </row>
    <row r="25" customFormat="false" ht="54.75" hidden="false" customHeight="true" outlineLevel="0" collapsed="false">
      <c r="A25" s="13" t="s">
        <v>247</v>
      </c>
      <c r="B25" s="13" t="s">
        <v>248</v>
      </c>
      <c r="C25" s="12" t="s">
        <v>162</v>
      </c>
      <c r="D25" s="12" t="s">
        <v>249</v>
      </c>
      <c r="E25" s="12" t="s">
        <v>250</v>
      </c>
      <c r="F25" s="12" t="s">
        <v>251</v>
      </c>
      <c r="G25" s="12" t="s">
        <v>252</v>
      </c>
      <c r="H25" s="12" t="s">
        <v>253</v>
      </c>
      <c r="I25" s="12" t="s">
        <v>254</v>
      </c>
      <c r="J25" s="16" t="s">
        <v>76</v>
      </c>
      <c r="K25" s="12"/>
    </row>
    <row r="26" customFormat="false" ht="54.75" hidden="false" customHeight="true" outlineLevel="0" collapsed="false">
      <c r="A26" s="10" t="s">
        <v>255</v>
      </c>
      <c r="B26" s="10" t="s">
        <v>256</v>
      </c>
      <c r="C26" s="9" t="s">
        <v>204</v>
      </c>
      <c r="D26" s="9" t="s">
        <v>257</v>
      </c>
      <c r="E26" s="9" t="s">
        <v>258</v>
      </c>
      <c r="F26" s="9" t="s">
        <v>259</v>
      </c>
      <c r="G26" s="9" t="s">
        <v>260</v>
      </c>
      <c r="H26" s="9" t="s">
        <v>261</v>
      </c>
      <c r="I26" s="9" t="s">
        <v>262</v>
      </c>
      <c r="J26" s="16" t="s">
        <v>76</v>
      </c>
      <c r="K26" s="9"/>
    </row>
    <row r="27" customFormat="false" ht="54.75" hidden="false" customHeight="true" outlineLevel="0" collapsed="false">
      <c r="A27" s="13" t="s">
        <v>263</v>
      </c>
      <c r="B27" s="13" t="s">
        <v>264</v>
      </c>
      <c r="C27" s="12" t="s">
        <v>265</v>
      </c>
      <c r="D27" s="12" t="s">
        <v>266</v>
      </c>
      <c r="E27" s="12" t="s">
        <v>267</v>
      </c>
      <c r="F27" s="12" t="s">
        <v>268</v>
      </c>
      <c r="G27" s="12" t="s">
        <v>269</v>
      </c>
      <c r="H27" s="12" t="s">
        <v>270</v>
      </c>
      <c r="I27" s="12" t="s">
        <v>271</v>
      </c>
      <c r="J27" s="16" t="s">
        <v>76</v>
      </c>
      <c r="K27" s="12"/>
    </row>
    <row r="29" customFormat="false" ht="21.75" hidden="false" customHeight="true" outlineLevel="0" collapsed="false">
      <c r="A29" s="6" t="s">
        <v>272</v>
      </c>
      <c r="B29" s="6"/>
      <c r="C29" s="6"/>
      <c r="D29" s="6"/>
      <c r="E29" s="6"/>
      <c r="F29" s="6"/>
      <c r="G29" s="6"/>
      <c r="H29" s="6"/>
      <c r="I29" s="6"/>
      <c r="J29" s="6"/>
      <c r="K29" s="6"/>
    </row>
    <row r="30" customFormat="false" ht="19.5" hidden="false" customHeight="true" outlineLevel="0" collapsed="false">
      <c r="A30" s="3" t="s">
        <v>273</v>
      </c>
      <c r="B30" s="18" t="n">
        <f aca="false">COUNTA(A4:A27)</f>
        <v>24</v>
      </c>
      <c r="C30" s="18"/>
      <c r="D30" s="18"/>
      <c r="E30" s="18"/>
      <c r="F30" s="18"/>
      <c r="G30" s="18"/>
      <c r="H30" s="18"/>
      <c r="I30" s="18"/>
      <c r="J30" s="18"/>
      <c r="K30" s="18"/>
    </row>
    <row r="31" customFormat="false" ht="19.5" hidden="false" customHeight="true" outlineLevel="0" collapsed="false">
      <c r="A31" s="3" t="s">
        <v>274</v>
      </c>
      <c r="B31" s="18" t="n">
        <f aca="false">COUNTIF(J4:J27,"APROBADO")</f>
        <v>23</v>
      </c>
      <c r="C31" s="18"/>
      <c r="D31" s="18"/>
      <c r="E31" s="18"/>
      <c r="F31" s="18"/>
      <c r="G31" s="18"/>
      <c r="H31" s="18"/>
      <c r="I31" s="18"/>
      <c r="J31" s="18"/>
      <c r="K31" s="18"/>
    </row>
    <row r="32" customFormat="false" ht="19.5" hidden="false" customHeight="true" outlineLevel="0" collapsed="false">
      <c r="A32" s="3" t="s">
        <v>275</v>
      </c>
      <c r="B32" s="18" t="n">
        <f aca="false">COUNTIF(J4:J27,"PARCIAL")</f>
        <v>1</v>
      </c>
      <c r="C32" s="18"/>
      <c r="D32" s="18"/>
      <c r="E32" s="18"/>
      <c r="F32" s="18"/>
      <c r="G32" s="18"/>
      <c r="H32" s="18"/>
      <c r="I32" s="18"/>
      <c r="J32" s="18"/>
      <c r="K32" s="18"/>
    </row>
    <row r="33" customFormat="false" ht="19.5" hidden="false" customHeight="true" outlineLevel="0" collapsed="false">
      <c r="A33" s="3" t="s">
        <v>276</v>
      </c>
      <c r="B33" s="18" t="n">
        <f aca="false">COUNTIF(J4:J27,"FALLIDO")</f>
        <v>0</v>
      </c>
      <c r="C33" s="18"/>
      <c r="D33" s="18"/>
      <c r="E33" s="18"/>
      <c r="F33" s="18"/>
      <c r="G33" s="18"/>
      <c r="H33" s="18"/>
      <c r="I33" s="18"/>
      <c r="J33" s="18"/>
      <c r="K33" s="18"/>
    </row>
    <row r="34" customFormat="false" ht="19.5" hidden="false" customHeight="true" outlineLevel="0" collapsed="false">
      <c r="A34" s="3" t="s">
        <v>277</v>
      </c>
      <c r="B34" s="19" t="n">
        <f aca="false">COUNTIF(J4:J27,"APROBADO")/COUNTA(A4:A27)</f>
        <v>0.958333333333333</v>
      </c>
      <c r="C34" s="19"/>
      <c r="D34" s="19"/>
      <c r="E34" s="19"/>
      <c r="F34" s="19"/>
      <c r="G34" s="19"/>
      <c r="H34" s="19"/>
      <c r="I34" s="19"/>
      <c r="J34" s="19"/>
      <c r="K34" s="19"/>
    </row>
  </sheetData>
  <mergeCells count="8">
    <mergeCell ref="A1:K1"/>
    <mergeCell ref="A2:K2"/>
    <mergeCell ref="A29:K29"/>
    <mergeCell ref="B30:K30"/>
    <mergeCell ref="B31:K31"/>
    <mergeCell ref="B32:K32"/>
    <mergeCell ref="B33:K33"/>
    <mergeCell ref="B34:K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2026-06-14T17:35:36Z</dcterms:created>
  <dc:creator>openpyxl</dc:creator>
  <dc:description/>
  <dc:language>en-US</dc:language>
  <cp:lastModifiedBy/>
  <dcterms:modified xsi:type="dcterms:W3CDTF">2026-06-14T17:35:36Z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