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 de Cambio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<sst xmlns="http://schemas.openxmlformats.org/spreadsheetml/2006/main" count="176" uniqueCount="120">
  <si>
    <t xml:space="preserve">REGISTRO DE CONTROL DE CAMBIOS — SIGA
Control de versiones del prototipo</t>
  </si>
  <si>
    <t xml:space="preserve">Proyecto: SIGA — Sistema de Gestión Fronteriza  |  Paso Los Libertadores  |  Asignatura: RQY1102</t>
  </si>
  <si>
    <t xml:space="preserve">N°</t>
  </si>
  <si>
    <t xml:space="preserve">Versión</t>
  </si>
  <si>
    <t xml:space="preserve">Fecha</t>
  </si>
  <si>
    <t xml:space="preserve">Autor</t>
  </si>
  <si>
    <t xml:space="preserve">Tipo de cambio</t>
  </si>
  <si>
    <t xml:space="preserve">Módulo afectado</t>
  </si>
  <si>
    <t xml:space="preserve">RF/RNF</t>
  </si>
  <si>
    <t xml:space="preserve">Descripción del cambio</t>
  </si>
  <si>
    <t xml:space="preserve">Motivo / Justificación</t>
  </si>
  <si>
    <t xml:space="preserve">Estado</t>
  </si>
  <si>
    <t xml:space="preserve">Aprobado por</t>
  </si>
  <si>
    <t xml:space="preserve">v0.1</t>
  </si>
  <si>
    <t xml:space="preserve">01/06/2026</t>
  </si>
  <si>
    <t xml:space="preserve">Equipo SIGA</t>
  </si>
  <si>
    <t xml:space="preserve">INICIAL</t>
  </si>
  <si>
    <t xml:space="preserve">Todo el sistema</t>
  </si>
  <si>
    <t xml:space="preserve">RF-01 a RF-20</t>
  </si>
  <si>
    <t xml:space="preserve">Creación del prototipo base SIGA con estructura HTML, sidebar de navegación, topbar y estilos CSS principales.</t>
  </si>
  <si>
    <t xml:space="preserve">Inicio del proyecto. Establecimiento de la arquitectura del prototipo.</t>
  </si>
  <si>
    <t xml:space="preserve">APROBADO</t>
  </si>
  <si>
    <t xml:space="preserve">Docente RQY1102</t>
  </si>
  <si>
    <t xml:space="preserve">v0.2</t>
  </si>
  <si>
    <t xml:space="preserve">03/06/2026</t>
  </si>
  <si>
    <t xml:space="preserve">NUEVO</t>
  </si>
  <si>
    <t xml:space="preserve">Registro Ingreso</t>
  </si>
  <si>
    <t xml:space="preserve">RF-01, RF-03, RF-04</t>
  </si>
  <si>
    <t xml:space="preserve">Implementación del módulo de Registro de Ingreso con formulario de datos de identidad, documento migratorio y barra de pasos (step bar).</t>
  </si>
  <si>
    <t xml:space="preserve">Cubrir requerimiento funcional RF-01 (registrar pasajeros que ingresan al país).</t>
  </si>
  <si>
    <t xml:space="preserve">v0.3</t>
  </si>
  <si>
    <t xml:space="preserve">04/06/2026</t>
  </si>
  <si>
    <t xml:space="preserve">Registro Salida</t>
  </si>
  <si>
    <t xml:space="preserve">RF-02, RF-06</t>
  </si>
  <si>
    <t xml:space="preserve">Implementación del módulo de Registro de Salida con búsqueda por RUT/folio, recuperación de datos previos y confirmación de salida.</t>
  </si>
  <si>
    <t xml:space="preserve">Cubrir requerimientos RF-02 y RF-06 (salida de pasajeros y vehículos).</t>
  </si>
  <si>
    <t xml:space="preserve">v0.4</t>
  </si>
  <si>
    <t xml:space="preserve">05/06/2026</t>
  </si>
  <si>
    <t xml:space="preserve">Validación Documentos</t>
  </si>
  <si>
    <t xml:space="preserve">RF-03, RF-04, RF-19, RF-20</t>
  </si>
  <si>
    <t xml:space="preserve">Implementación del módulo de Validación de Documentos con validación cruzada PDI-Aduanas-SAG y sistema de alertas por inconsistencias.</t>
  </si>
  <si>
    <t xml:space="preserve">Cubrir RF-03, RF-04, RF-19 y RF-20. Componente crítico del sistema.</t>
  </si>
  <si>
    <t xml:space="preserve">v0.5</t>
  </si>
  <si>
    <t xml:space="preserve">06/06/2026</t>
  </si>
  <si>
    <t xml:space="preserve">Consulta Antecedentes</t>
  </si>
  <si>
    <t xml:space="preserve">RF-07, RF-08</t>
  </si>
  <si>
    <t xml:space="preserve">Implementación del módulo de Consulta de Antecedentes de pasajeros y vehículos con búsqueda por RUT/patente y visualización de historial.</t>
  </si>
  <si>
    <t xml:space="preserve">Cubrir RF-07 y RF-08 (consulta de antecedentes).</t>
  </si>
  <si>
    <t xml:space="preserve">v0.6</t>
  </si>
  <si>
    <t xml:space="preserve">07/06/2026</t>
  </si>
  <si>
    <t xml:space="preserve">Vehículos</t>
  </si>
  <si>
    <t xml:space="preserve">RF-05, RF-06, RF-08</t>
  </si>
  <si>
    <t xml:space="preserve">Implementación del módulo de Vehículos para registro de ingreso y salida de vehículos con datos de patente, marca, modelo y conductor.</t>
  </si>
  <si>
    <t xml:space="preserve">Cubrir RF-05 y RF-06. Añadir consulta de historial vehicular (RF-08).</t>
  </si>
  <si>
    <t xml:space="preserve">v0.7</t>
  </si>
  <si>
    <t xml:space="preserve">08/06/2026</t>
  </si>
  <si>
    <t xml:space="preserve">Historial / Reportes</t>
  </si>
  <si>
    <t xml:space="preserve">RF-09, RF-10</t>
  </si>
  <si>
    <t xml:space="preserve">Implementación del módulo de Historial con tabla de registros, filtros por estado y tipo, y generación de reporte diario exportable.</t>
  </si>
  <si>
    <t xml:space="preserve">Cubrir RF-09 (historial) y RF-10 (reporte diario).</t>
  </si>
  <si>
    <t xml:space="preserve">v0.8</t>
  </si>
  <si>
    <t xml:space="preserve">09/06/2026</t>
  </si>
  <si>
    <t xml:space="preserve">Integraciones</t>
  </si>
  <si>
    <t xml:space="preserve">RF-15, RF-16, RF-17</t>
  </si>
  <si>
    <t xml:space="preserve">Implementación del módulo de Integraciones mostrando estado de conexión con PDI, Aduanas Chile y SAG con indicadores de sincronización.</t>
  </si>
  <si>
    <t xml:space="preserve">Cubrir RF-15, RF-16 y RF-17 (integración con sistemas externos).</t>
  </si>
  <si>
    <t xml:space="preserve">v0.9</t>
  </si>
  <si>
    <t xml:space="preserve">10/06/2026</t>
  </si>
  <si>
    <t xml:space="preserve">Usuarios y Roles</t>
  </si>
  <si>
    <t xml:space="preserve">RF-12, RF-13, RNF-04, RNF-05</t>
  </si>
  <si>
    <t xml:space="preserve">Implementación del módulo de Usuarios y Roles con tabla de usuarios, badges de rol (Admin, Supervisor, Operador, Visualizador) y configuración de seguridad (2FA, caducidad de contraseña, bloqueo por intentos).</t>
  </si>
  <si>
    <t xml:space="preserve">Cubrir RF-12, RF-13 y RNF-04/05 (gestión de acceso y roles).</t>
  </si>
  <si>
    <t xml:space="preserve">v0.10</t>
  </si>
  <si>
    <t xml:space="preserve">11/06/2026</t>
  </si>
  <si>
    <t xml:space="preserve">Bitácora de Actividad</t>
  </si>
  <si>
    <t xml:space="preserve">RF-18, RNF-07</t>
  </si>
  <si>
    <t xml:space="preserve">Implementación del módulo de Bitácora con registro cronológico de eventos (autenticación, registros, validaciones, alertas) con usuario e IP.</t>
  </si>
  <si>
    <t xml:space="preserve">Cubrir RF-18 y RNF-07 (registro de logs de actividad).</t>
  </si>
  <si>
    <t xml:space="preserve">v0.11</t>
  </si>
  <si>
    <t xml:space="preserve">12/06/2026</t>
  </si>
  <si>
    <t xml:space="preserve">MEJORA</t>
  </si>
  <si>
    <t xml:space="preserve">Dashboard</t>
  </si>
  <si>
    <t xml:space="preserve">RF-10, RF-20, RNF-01</t>
  </si>
  <si>
    <t xml:space="preserve">Mejora del panel principal: adición de tarjetas de estadísticas (ingresos, salidas, vehículos, alertas), gráfico de tránsito por hora y tabla de últimos registros con acciones rápidas.</t>
  </si>
  <si>
    <t xml:space="preserve">Mejorar la experiencia del usuario y visibilidad del estado del sistema en tiempo real.</t>
  </si>
  <si>
    <t xml:space="preserve">v0.12</t>
  </si>
  <si>
    <t xml:space="preserve">13/06/2026</t>
  </si>
  <si>
    <t xml:space="preserve">CORRECCIÓN</t>
  </si>
  <si>
    <t xml:space="preserve">Validación Docs</t>
  </si>
  <si>
    <t xml:space="preserve">RF-19, RF-20</t>
  </si>
  <si>
    <t xml:space="preserve">Corrección de visualización de alertas en módulo de validación cruzada. Se añadió badge de estado por institución (PDI, Aduanas, SAG) y se mejoró el mensaje de inconsistencia.</t>
  </si>
  <si>
    <t xml:space="preserve">Error detectado en revisión interna: el mensaje de alerta no especificaba la institución con inconsistencia.</t>
  </si>
  <si>
    <t xml:space="preserve">v0.13</t>
  </si>
  <si>
    <t xml:space="preserve">RF-15, RF-16, RF-17, RNF-03</t>
  </si>
  <si>
    <t xml:space="preserve">Añadido indicador de latencia en módulo de integraciones. SAG muestra badge 'Lento' cuando la latencia supera 1.5 segundos.</t>
  </si>
  <si>
    <t xml:space="preserve">Mejora de usabilidad: el operador debe visualizar el estado de rendimiento de las integraciones.</t>
  </si>
  <si>
    <t xml:space="preserve">v1.0</t>
  </si>
  <si>
    <t xml:space="preserve">14/06/2026</t>
  </si>
  <si>
    <t xml:space="preserve">RNF-16, RNF-17, RNF-19</t>
  </si>
  <si>
    <t xml:space="preserve">Versión final del prototipo v1.0: revisión general de compatibilidad cross-browser, ajuste de estilos CSS responsivos, y verificación de cumplimiento de nomenclatura IEEE 830.</t>
  </si>
  <si>
    <t xml:space="preserve">Entrega final Evaluación Parcial N°3. Versión estable para presentación.</t>
  </si>
  <si>
    <t xml:space="preserve">RESUMEN DE VERSIONES</t>
  </si>
  <si>
    <t xml:space="preserve">Versión inicial</t>
  </si>
  <si>
    <t xml:space="preserve">v0.1 — 01/06/2026</t>
  </si>
  <si>
    <t xml:space="preserve">Versión actual / final</t>
  </si>
  <si>
    <t xml:space="preserve">v1.0 — 14/06/2026</t>
  </si>
  <si>
    <t xml:space="preserve">Total de versiones</t>
  </si>
  <si>
    <t xml:space="preserve">Cambios tipo NUEVO</t>
  </si>
  <si>
    <t xml:space="preserve">Cambios tipo MEJORA</t>
  </si>
  <si>
    <t xml:space="preserve">Cambios tipo CORRECCIÓN</t>
  </si>
  <si>
    <t xml:space="preserve">Cambios APROBADOS</t>
  </si>
  <si>
    <t xml:space="preserve">LEYENDA — TIPOS DE CAMBIO</t>
  </si>
  <si>
    <t xml:space="preserve">Tipo</t>
  </si>
  <si>
    <t xml:space="preserve">Descripción</t>
  </si>
  <si>
    <t xml:space="preserve">Creación base del módulo o sistema</t>
  </si>
  <si>
    <t xml:space="preserve">Implementación de funcionalidad nueva</t>
  </si>
  <si>
    <t xml:space="preserve">Optimización o mejora de funcionalidad existente</t>
  </si>
  <si>
    <t xml:space="preserve">Corrección de error o bug detectado</t>
  </si>
  <si>
    <t xml:space="preserve">SEGURIDAD</t>
  </si>
  <si>
    <t xml:space="preserve">Cambio relacionado a seguridad o acceso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</si>
</sst>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56A0"/>
        <bgColor rgb="FF2E75B6"/>
      </patternFill>
    </fill>
    <fill>
      <patternFill patternType="solid">
        <fgColor rgb="FF2E75B6"/>
        <bgColor rgb="FF1A56A0"/>
      </patternFill>
    </fill>
    <fill>
      <patternFill patternType="solid">
        <fgColor rgb="FFF7F9FC"/>
        <bgColor rgb="FFFFFFFF"/>
      </patternFill>
    </fill>
    <fill>
      <patternFill patternType="solid">
        <fgColor rgb="FFD6E4F0"/>
        <bgColor rgb="FFE2D9F3"/>
      </patternFill>
    </fill>
    <fill>
      <patternFill patternType="solid">
        <fgColor rgb="FF1D7D4B"/>
        <bgColor rgb="FF008080"/>
      </patternFill>
    </fill>
    <fill>
      <patternFill patternType="solid">
        <fgColor rgb="FFFFFFFF"/>
        <bgColor rgb="FFF7F9F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DAD6"/>
        <bgColor rgb="FFE2D9F3"/>
      </patternFill>
    </fill>
    <fill>
      <patternFill patternType="solid">
        <fgColor rgb="FFF2F2F2"/>
        <bgColor rgb="FFF7F9FC"/>
      </patternFill>
    </fill>
    <fill>
      <patternFill patternType="solid">
        <fgColor rgb="FFE2D9F3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D4B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1A56A0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7F9FC"/>
      <rgbColor rgb="FF99CCFF"/>
      <rgbColor rgb="FFFF99CC"/>
      <rgbColor rgb="FFCC99FF"/>
      <rgbColor rgb="FFFFDA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50"/>
    <col collapsed="false" customWidth="true" hidden="false" outlineLevel="0" max="9" min="9" style="0" width="40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54.75" hidden="false" customHeight="true" outlineLevel="0" collapsed="false">
      <c r="A4" s="4" t="n">
        <v>1</v>
      </c>
      <c r="B4" s="5" t="s">
        <v>13</v>
      </c>
      <c r="C4" s="4" t="s">
        <v>14</v>
      </c>
      <c r="D4" s="6" t="s">
        <v>15</v>
      </c>
      <c r="E4" s="7" t="s">
        <v>16</v>
      </c>
      <c r="F4" s="6" t="s">
        <v>17</v>
      </c>
      <c r="G4" s="4" t="s">
        <v>18</v>
      </c>
      <c r="H4" s="6" t="s">
        <v>19</v>
      </c>
      <c r="I4" s="6" t="s">
        <v>20</v>
      </c>
      <c r="J4" s="8" t="s">
        <v>21</v>
      </c>
      <c r="K4" s="4" t="s">
        <v>22</v>
      </c>
    </row>
    <row r="5" customFormat="false" ht="54.75" hidden="false" customHeight="true" outlineLevel="0" collapsed="false">
      <c r="A5" s="9" t="n">
        <v>2</v>
      </c>
      <c r="B5" s="10" t="s">
        <v>23</v>
      </c>
      <c r="C5" s="9" t="s">
        <v>24</v>
      </c>
      <c r="D5" s="11" t="s">
        <v>15</v>
      </c>
      <c r="E5" s="12" t="s">
        <v>25</v>
      </c>
      <c r="F5" s="11" t="s">
        <v>26</v>
      </c>
      <c r="G5" s="9" t="s">
        <v>27</v>
      </c>
      <c r="H5" s="11" t="s">
        <v>28</v>
      </c>
      <c r="I5" s="11" t="s">
        <v>29</v>
      </c>
      <c r="J5" s="8" t="s">
        <v>21</v>
      </c>
      <c r="K5" s="9" t="s">
        <v>15</v>
      </c>
    </row>
    <row r="6" customFormat="false" ht="54.75" hidden="false" customHeight="true" outlineLevel="0" collapsed="false">
      <c r="A6" s="4" t="n">
        <v>3</v>
      </c>
      <c r="B6" s="5" t="s">
        <v>30</v>
      </c>
      <c r="C6" s="4" t="s">
        <v>31</v>
      </c>
      <c r="D6" s="6" t="s">
        <v>15</v>
      </c>
      <c r="E6" s="12" t="s">
        <v>25</v>
      </c>
      <c r="F6" s="6" t="s">
        <v>32</v>
      </c>
      <c r="G6" s="4" t="s">
        <v>33</v>
      </c>
      <c r="H6" s="6" t="s">
        <v>34</v>
      </c>
      <c r="I6" s="6" t="s">
        <v>35</v>
      </c>
      <c r="J6" s="8" t="s">
        <v>21</v>
      </c>
      <c r="K6" s="4" t="s">
        <v>15</v>
      </c>
    </row>
    <row r="7" customFormat="false" ht="54.75" hidden="false" customHeight="true" outlineLevel="0" collapsed="false">
      <c r="A7" s="9" t="n">
        <v>4</v>
      </c>
      <c r="B7" s="10" t="s">
        <v>36</v>
      </c>
      <c r="C7" s="9" t="s">
        <v>37</v>
      </c>
      <c r="D7" s="11" t="s">
        <v>15</v>
      </c>
      <c r="E7" s="12" t="s">
        <v>25</v>
      </c>
      <c r="F7" s="11" t="s">
        <v>38</v>
      </c>
      <c r="G7" s="9" t="s">
        <v>39</v>
      </c>
      <c r="H7" s="11" t="s">
        <v>40</v>
      </c>
      <c r="I7" s="11" t="s">
        <v>41</v>
      </c>
      <c r="J7" s="8" t="s">
        <v>21</v>
      </c>
      <c r="K7" s="9" t="s">
        <v>15</v>
      </c>
    </row>
    <row r="8" customFormat="false" ht="54.75" hidden="false" customHeight="true" outlineLevel="0" collapsed="false">
      <c r="A8" s="4" t="n">
        <v>5</v>
      </c>
      <c r="B8" s="5" t="s">
        <v>42</v>
      </c>
      <c r="C8" s="4" t="s">
        <v>43</v>
      </c>
      <c r="D8" s="6" t="s">
        <v>15</v>
      </c>
      <c r="E8" s="12" t="s">
        <v>25</v>
      </c>
      <c r="F8" s="6" t="s">
        <v>44</v>
      </c>
      <c r="G8" s="4" t="s">
        <v>45</v>
      </c>
      <c r="H8" s="6" t="s">
        <v>46</v>
      </c>
      <c r="I8" s="6" t="s">
        <v>47</v>
      </c>
      <c r="J8" s="8" t="s">
        <v>21</v>
      </c>
      <c r="K8" s="4" t="s">
        <v>15</v>
      </c>
    </row>
    <row r="9" customFormat="false" ht="54.75" hidden="false" customHeight="true" outlineLevel="0" collapsed="false">
      <c r="A9" s="9" t="n">
        <v>6</v>
      </c>
      <c r="B9" s="10" t="s">
        <v>48</v>
      </c>
      <c r="C9" s="9" t="s">
        <v>49</v>
      </c>
      <c r="D9" s="11" t="s">
        <v>15</v>
      </c>
      <c r="E9" s="12" t="s">
        <v>25</v>
      </c>
      <c r="F9" s="11" t="s">
        <v>50</v>
      </c>
      <c r="G9" s="9" t="s">
        <v>51</v>
      </c>
      <c r="H9" s="11" t="s">
        <v>52</v>
      </c>
      <c r="I9" s="11" t="s">
        <v>53</v>
      </c>
      <c r="J9" s="8" t="s">
        <v>21</v>
      </c>
      <c r="K9" s="9" t="s">
        <v>15</v>
      </c>
    </row>
    <row r="10" customFormat="false" ht="54.75" hidden="false" customHeight="true" outlineLevel="0" collapsed="false">
      <c r="A10" s="4" t="n">
        <v>7</v>
      </c>
      <c r="B10" s="5" t="s">
        <v>54</v>
      </c>
      <c r="C10" s="4" t="s">
        <v>55</v>
      </c>
      <c r="D10" s="6" t="s">
        <v>15</v>
      </c>
      <c r="E10" s="12" t="s">
        <v>25</v>
      </c>
      <c r="F10" s="6" t="s">
        <v>56</v>
      </c>
      <c r="G10" s="4" t="s">
        <v>57</v>
      </c>
      <c r="H10" s="6" t="s">
        <v>58</v>
      </c>
      <c r="I10" s="6" t="s">
        <v>59</v>
      </c>
      <c r="J10" s="8" t="s">
        <v>21</v>
      </c>
      <c r="K10" s="4" t="s">
        <v>15</v>
      </c>
    </row>
    <row r="11" customFormat="false" ht="54.75" hidden="false" customHeight="true" outlineLevel="0" collapsed="false">
      <c r="A11" s="9" t="n">
        <v>8</v>
      </c>
      <c r="B11" s="10" t="s">
        <v>60</v>
      </c>
      <c r="C11" s="9" t="s">
        <v>61</v>
      </c>
      <c r="D11" s="11" t="s">
        <v>15</v>
      </c>
      <c r="E11" s="12" t="s">
        <v>25</v>
      </c>
      <c r="F11" s="11" t="s">
        <v>62</v>
      </c>
      <c r="G11" s="9" t="s">
        <v>63</v>
      </c>
      <c r="H11" s="11" t="s">
        <v>64</v>
      </c>
      <c r="I11" s="11" t="s">
        <v>65</v>
      </c>
      <c r="J11" s="8" t="s">
        <v>21</v>
      </c>
      <c r="K11" s="9" t="s">
        <v>15</v>
      </c>
    </row>
    <row r="12" customFormat="false" ht="54.75" hidden="false" customHeight="true" outlineLevel="0" collapsed="false">
      <c r="A12" s="4" t="n">
        <v>9</v>
      </c>
      <c r="B12" s="5" t="s">
        <v>66</v>
      </c>
      <c r="C12" s="4" t="s">
        <v>67</v>
      </c>
      <c r="D12" s="6" t="s">
        <v>15</v>
      </c>
      <c r="E12" s="12" t="s">
        <v>25</v>
      </c>
      <c r="F12" s="6" t="s">
        <v>68</v>
      </c>
      <c r="G12" s="4" t="s">
        <v>69</v>
      </c>
      <c r="H12" s="6" t="s">
        <v>70</v>
      </c>
      <c r="I12" s="6" t="s">
        <v>71</v>
      </c>
      <c r="J12" s="8" t="s">
        <v>21</v>
      </c>
      <c r="K12" s="4" t="s">
        <v>15</v>
      </c>
    </row>
    <row r="13" customFormat="false" ht="54.75" hidden="false" customHeight="true" outlineLevel="0" collapsed="false">
      <c r="A13" s="9" t="n">
        <v>10</v>
      </c>
      <c r="B13" s="10" t="s">
        <v>72</v>
      </c>
      <c r="C13" s="9" t="s">
        <v>73</v>
      </c>
      <c r="D13" s="11" t="s">
        <v>15</v>
      </c>
      <c r="E13" s="12" t="s">
        <v>25</v>
      </c>
      <c r="F13" s="11" t="s">
        <v>74</v>
      </c>
      <c r="G13" s="9" t="s">
        <v>75</v>
      </c>
      <c r="H13" s="11" t="s">
        <v>76</v>
      </c>
      <c r="I13" s="11" t="s">
        <v>77</v>
      </c>
      <c r="J13" s="8" t="s">
        <v>21</v>
      </c>
      <c r="K13" s="9" t="s">
        <v>15</v>
      </c>
    </row>
    <row r="14" customFormat="false" ht="54.75" hidden="false" customHeight="true" outlineLevel="0" collapsed="false">
      <c r="A14" s="4" t="n">
        <v>11</v>
      </c>
      <c r="B14" s="5" t="s">
        <v>78</v>
      </c>
      <c r="C14" s="4" t="s">
        <v>79</v>
      </c>
      <c r="D14" s="6" t="s">
        <v>15</v>
      </c>
      <c r="E14" s="13" t="s">
        <v>80</v>
      </c>
      <c r="F14" s="6" t="s">
        <v>81</v>
      </c>
      <c r="G14" s="4" t="s">
        <v>82</v>
      </c>
      <c r="H14" s="6" t="s">
        <v>83</v>
      </c>
      <c r="I14" s="6" t="s">
        <v>84</v>
      </c>
      <c r="J14" s="8" t="s">
        <v>21</v>
      </c>
      <c r="K14" s="4" t="s">
        <v>15</v>
      </c>
    </row>
    <row r="15" customFormat="false" ht="54.75" hidden="false" customHeight="true" outlineLevel="0" collapsed="false">
      <c r="A15" s="9" t="n">
        <v>12</v>
      </c>
      <c r="B15" s="10" t="s">
        <v>85</v>
      </c>
      <c r="C15" s="9" t="s">
        <v>86</v>
      </c>
      <c r="D15" s="11" t="s">
        <v>15</v>
      </c>
      <c r="E15" s="14" t="s">
        <v>87</v>
      </c>
      <c r="F15" s="11" t="s">
        <v>88</v>
      </c>
      <c r="G15" s="9" t="s">
        <v>89</v>
      </c>
      <c r="H15" s="11" t="s">
        <v>90</v>
      </c>
      <c r="I15" s="11" t="s">
        <v>91</v>
      </c>
      <c r="J15" s="8" t="s">
        <v>21</v>
      </c>
      <c r="K15" s="9" t="s">
        <v>15</v>
      </c>
    </row>
    <row r="16" customFormat="false" ht="54.75" hidden="false" customHeight="true" outlineLevel="0" collapsed="false">
      <c r="A16" s="4" t="n">
        <v>13</v>
      </c>
      <c r="B16" s="5" t="s">
        <v>92</v>
      </c>
      <c r="C16" s="4" t="s">
        <v>86</v>
      </c>
      <c r="D16" s="6" t="s">
        <v>15</v>
      </c>
      <c r="E16" s="13" t="s">
        <v>80</v>
      </c>
      <c r="F16" s="6" t="s">
        <v>62</v>
      </c>
      <c r="G16" s="4" t="s">
        <v>93</v>
      </c>
      <c r="H16" s="6" t="s">
        <v>94</v>
      </c>
      <c r="I16" s="6" t="s">
        <v>95</v>
      </c>
      <c r="J16" s="8" t="s">
        <v>21</v>
      </c>
      <c r="K16" s="4" t="s">
        <v>15</v>
      </c>
    </row>
    <row r="17" customFormat="false" ht="54.75" hidden="false" customHeight="true" outlineLevel="0" collapsed="false">
      <c r="A17" s="9" t="n">
        <v>14</v>
      </c>
      <c r="B17" s="10" t="s">
        <v>96</v>
      </c>
      <c r="C17" s="9" t="s">
        <v>97</v>
      </c>
      <c r="D17" s="11" t="s">
        <v>15</v>
      </c>
      <c r="E17" s="13" t="s">
        <v>80</v>
      </c>
      <c r="F17" s="11" t="s">
        <v>17</v>
      </c>
      <c r="G17" s="9" t="s">
        <v>98</v>
      </c>
      <c r="H17" s="11" t="s">
        <v>99</v>
      </c>
      <c r="I17" s="11" t="s">
        <v>100</v>
      </c>
      <c r="J17" s="8" t="s">
        <v>21</v>
      </c>
      <c r="K17" s="9" t="s">
        <v>22</v>
      </c>
    </row>
    <row r="19" customFormat="false" ht="21.75" hidden="false" customHeight="true" outlineLevel="0" collapsed="false">
      <c r="A19" s="15" t="s">
        <v>101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9.5" hidden="false" customHeight="true" outlineLevel="0" collapsed="false">
      <c r="A20" s="16" t="s">
        <v>102</v>
      </c>
      <c r="B20" s="17" t="s">
        <v>103</v>
      </c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9.5" hidden="false" customHeight="true" outlineLevel="0" collapsed="false">
      <c r="A21" s="16" t="s">
        <v>104</v>
      </c>
      <c r="B21" s="17" t="s">
        <v>105</v>
      </c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9.5" hidden="false" customHeight="true" outlineLevel="0" collapsed="false">
      <c r="A22" s="16" t="s">
        <v>106</v>
      </c>
      <c r="B22" s="17" t="n">
        <f aca="false">COUNTA(B4:B17)</f>
        <v>14</v>
      </c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9.5" hidden="false" customHeight="true" outlineLevel="0" collapsed="false">
      <c r="A23" s="16" t="s">
        <v>107</v>
      </c>
      <c r="B23" s="17" t="n">
        <f aca="false">COUNTIF(E4:E17,"NUEVO")</f>
        <v>9</v>
      </c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9.5" hidden="false" customHeight="true" outlineLevel="0" collapsed="false">
      <c r="A24" s="16" t="s">
        <v>108</v>
      </c>
      <c r="B24" s="17" t="n">
        <f aca="false">COUNTIF(E4:E17,"MEJORA")</f>
        <v>3</v>
      </c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9.5" hidden="false" customHeight="true" outlineLevel="0" collapsed="false">
      <c r="A25" s="16" t="s">
        <v>109</v>
      </c>
      <c r="B25" s="17" t="n">
        <f aca="false">COUNTIF(E4:E17,"CORRECCIÓN")</f>
        <v>1</v>
      </c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9.5" hidden="false" customHeight="true" outlineLevel="0" collapsed="false">
      <c r="A26" s="16" t="s">
        <v>110</v>
      </c>
      <c r="B26" s="17" t="n">
        <f aca="false">COUNTIF(J4:J17,"APROBADO")</f>
        <v>14</v>
      </c>
      <c r="C26" s="17"/>
      <c r="D26" s="17"/>
      <c r="E26" s="17"/>
      <c r="F26" s="17"/>
      <c r="G26" s="17"/>
      <c r="H26" s="17"/>
      <c r="I26" s="17"/>
      <c r="J26" s="17"/>
      <c r="K26" s="17"/>
    </row>
  </sheetData>
  <mergeCells count="10">
    <mergeCell ref="A1:K1"/>
    <mergeCell ref="A2:K2"/>
    <mergeCell ref="A19:K19"/>
    <mergeCell ref="B20:K20"/>
    <mergeCell ref="B21:K21"/>
    <mergeCell ref="B22:K22"/>
    <mergeCell ref="B23:K23"/>
    <mergeCell ref="B24:K24"/>
    <mergeCell ref="B25:K25"/>
    <mergeCell ref="B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8" t="s">
        <v>111</v>
      </c>
      <c r="B1" s="18"/>
    </row>
    <row r="2" customFormat="false" ht="15" hidden="false" customHeight="false" outlineLevel="0" collapsed="false">
      <c r="A2" s="19" t="s">
        <v>112</v>
      </c>
      <c r="B2" s="19" t="s">
        <v>113</v>
      </c>
    </row>
    <row r="3" customFormat="false" ht="21.75" hidden="false" customHeight="true" outlineLevel="0" collapsed="false">
      <c r="A3" s="7" t="s">
        <v>16</v>
      </c>
      <c r="B3" s="20" t="s">
        <v>114</v>
      </c>
    </row>
    <row r="4" customFormat="false" ht="21.75" hidden="false" customHeight="true" outlineLevel="0" collapsed="false">
      <c r="A4" s="12" t="s">
        <v>25</v>
      </c>
      <c r="B4" s="21" t="s">
        <v>115</v>
      </c>
    </row>
    <row r="5" customFormat="false" ht="21.75" hidden="false" customHeight="true" outlineLevel="0" collapsed="false">
      <c r="A5" s="13" t="s">
        <v>80</v>
      </c>
      <c r="B5" s="22" t="s">
        <v>116</v>
      </c>
    </row>
    <row r="6" customFormat="false" ht="21.75" hidden="false" customHeight="true" outlineLevel="0" collapsed="false">
      <c r="A6" s="14" t="s">
        <v>87</v>
      </c>
      <c r="B6" s="23" t="s">
        <v>117</v>
      </c>
    </row>
    <row r="7" customFormat="false" ht="21.75" hidden="false" customHeight="true" outlineLevel="0" collapsed="false">
      <c r="A7" s="24" t="s">
        <v>118</v>
      </c>
      <c r="B7" s="25" t="s">
        <v>119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2026-06-14T17:35:36Z</dcterms:created>
  <dc:creator>openpyxl</dc:creator>
  <dc:description/>
  <dc:language>en-US</dc:language>
  <cp:lastModifiedBy/>
  <dcterms:modified xsi:type="dcterms:W3CDTF">2026-06-14T17:35:36Z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